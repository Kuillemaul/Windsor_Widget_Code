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m/yy;@"/>
    <numFmt numFmtId="165" formatCode="_(&quot;$&quot;* #,##0.00_);_(&quot;$&quot;* \(#,##0.00\);_(&quot;$&quot;* &quot;-&quot;??_);_(@_)"/>
    <numFmt numFmtId="166" formatCode="_(&quot;$&quot;* #,##0.0000_);_(&quot;$&quot;* \(#,##0.0000\);_(&quot;$&quot;* &quot;-&quot;??_);_(@_)"/>
  </numFmts>
  <fonts count="21">
    <font>
      <name val="Calibri"/>
      <family val="2"/>
      <color theme="1"/>
      <sz val="11"/>
      <scheme val="minor"/>
    </font>
    <font>
      <name val="Times New Roman"/>
      <family val="1"/>
      <b val="1"/>
      <sz val="36"/>
    </font>
    <font>
      <name val="Times New Roman"/>
      <family val="1"/>
      <b val="1"/>
      <color indexed="10"/>
      <sz val="2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20"/>
    </font>
    <font>
      <name val="Arial"/>
      <sz val="10"/>
    </font>
    <font>
      <name val="Arial"/>
      <family val="2"/>
      <b val="1"/>
      <color indexed="10"/>
      <sz val="14"/>
    </font>
    <font>
      <name val="Arial"/>
      <family val="2"/>
      <b val="1"/>
      <color indexed="10"/>
      <sz val="12"/>
    </font>
    <font>
      <name val="Arial"/>
      <family val="2"/>
      <color indexed="10"/>
      <sz val="12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sz val="10"/>
    </font>
    <font>
      <name val="Arial"/>
      <family val="2"/>
      <b val="1"/>
      <sz val="10"/>
      <u val="singleAccounting"/>
    </font>
    <font>
      <name val="Arial"/>
      <family val="2"/>
      <b val="1"/>
      <color indexed="10"/>
      <sz val="10"/>
      <u val="singleAccounting"/>
    </font>
    <font>
      <name val="Arial"/>
      <family val="2"/>
      <b val="1"/>
      <color rgb="FFFF0000"/>
      <sz val="10"/>
      <u val="single"/>
    </font>
    <font>
      <name val="Arial"/>
      <family val="2"/>
      <b val="1"/>
      <color indexed="10"/>
      <sz val="10"/>
    </font>
    <font>
      <name val="Arial"/>
      <family val="2"/>
      <b val="1"/>
      <color rgb="FFFF0000"/>
      <sz val="12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16"/>
    </font>
    <font>
      <name val="Arial"/>
      <family val="2"/>
      <b val="1"/>
      <sz val="14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399975585192419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  <xf numFmtId="1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3" fontId="5" fillId="0" borderId="0" pivotButton="0" quotePrefix="0" xfId="0"/>
    <xf numFmtId="1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6" fillId="0" borderId="1" pivotButton="0" quotePrefix="0" xfId="0"/>
    <xf numFmtId="0" fontId="7" fillId="0" borderId="2" pivotButton="0" quotePrefix="0" xfId="0"/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 vertical="center"/>
    </xf>
    <xf numFmtId="0" fontId="8" fillId="0" borderId="0" pivotButton="0" quotePrefix="0" xfId="0"/>
    <xf numFmtId="3" fontId="7" fillId="0" borderId="2" pivotButton="0" quotePrefix="0" xfId="0"/>
    <xf numFmtId="3" fontId="8" fillId="0" borderId="3" pivotButton="0" quotePrefix="0" xfId="0"/>
    <xf numFmtId="0" fontId="8" fillId="0" borderId="4" pivotButton="0" quotePrefix="0" xfId="0"/>
    <xf numFmtId="1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/>
    </xf>
    <xf numFmtId="164" fontId="7" fillId="0" borderId="4" applyAlignment="1" pivotButton="0" quotePrefix="0" xfId="0">
      <alignment horizontal="center"/>
    </xf>
    <xf numFmtId="0" fontId="0" fillId="0" borderId="4" pivotButton="0" quotePrefix="0" xfId="0"/>
    <xf numFmtId="0" fontId="7" fillId="0" borderId="2" applyAlignment="1" pivotButton="0" quotePrefix="0" xfId="0">
      <alignment horizontal="left"/>
    </xf>
    <xf numFmtId="3" fontId="7" fillId="0" borderId="3" applyAlignment="1" pivotButton="0" quotePrefix="0" xfId="0">
      <alignment horizontal="left"/>
    </xf>
    <xf numFmtId="0" fontId="7" fillId="0" borderId="4" applyAlignment="1" pivotButton="0" quotePrefix="0" xfId="0">
      <alignment horizontal="left"/>
    </xf>
    <xf numFmtId="1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/>
    </xf>
    <xf numFmtId="1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3" fontId="11" fillId="0" borderId="8" applyAlignment="1" pivotButton="0" quotePrefix="0" xfId="0">
      <alignment horizontal="center"/>
    </xf>
    <xf numFmtId="3" fontId="11" fillId="0" borderId="7" applyAlignment="1" pivotButton="0" quotePrefix="0" xfId="0">
      <alignment horizontal="center"/>
    </xf>
    <xf numFmtId="165" fontId="13" fillId="0" borderId="9" applyAlignment="1" pivotButton="0" quotePrefix="0" xfId="0">
      <alignment horizontal="center"/>
    </xf>
    <xf numFmtId="1" fontId="13" fillId="0" borderId="7" applyAlignment="1" pivotButton="0" quotePrefix="0" xfId="0">
      <alignment horizontal="center"/>
    </xf>
    <xf numFmtId="165" fontId="14" fillId="0" borderId="9" applyAlignment="1" pivotButton="0" quotePrefix="0" xfId="0">
      <alignment horizontal="center"/>
    </xf>
    <xf numFmtId="0" fontId="0" fillId="0" borderId="10" pivotButton="0" quotePrefix="0" xfId="0"/>
    <xf numFmtId="0" fontId="11" fillId="0" borderId="11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5" fillId="2" borderId="12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/>
    </xf>
    <xf numFmtId="3" fontId="11" fillId="0" borderId="12" applyAlignment="1" pivotButton="0" quotePrefix="0" xfId="0">
      <alignment horizontal="center"/>
    </xf>
    <xf numFmtId="1" fontId="13" fillId="0" borderId="12" applyAlignment="1" pivotButton="0" quotePrefix="0" xfId="0">
      <alignment horizontal="center"/>
    </xf>
    <xf numFmtId="165" fontId="13" fillId="0" borderId="13" applyAlignment="1" pivotButton="0" quotePrefix="0" xfId="0">
      <alignment horizontal="center"/>
    </xf>
    <xf numFmtId="0" fontId="12" fillId="0" borderId="14" pivotButton="0" quotePrefix="0" xfId="0"/>
    <xf numFmtId="0" fontId="12" fillId="0" borderId="0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0" fontId="6" fillId="0" borderId="14" pivotButton="0" quotePrefix="0" xfId="0"/>
    <xf numFmtId="0" fontId="12" fillId="0" borderId="15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/>
    </xf>
    <xf numFmtId="3" fontId="16" fillId="3" borderId="16" applyAlignment="1" pivotButton="0" quotePrefix="0" xfId="0">
      <alignment horizontal="center" vertical="center"/>
    </xf>
    <xf numFmtId="3" fontId="12" fillId="0" borderId="16" applyAlignment="1" pivotButton="0" quotePrefix="0" xfId="0">
      <alignment horizontal="center" vertical="center"/>
    </xf>
    <xf numFmtId="3" fontId="16" fillId="0" borderId="16" applyAlignment="1" pivotButton="0" quotePrefix="0" xfId="0">
      <alignment horizontal="center" vertical="center"/>
    </xf>
    <xf numFmtId="166" fontId="12" fillId="0" borderId="16" applyAlignment="1" pivotButton="0" quotePrefix="0" xfId="0">
      <alignment horizontal="center" vertical="center"/>
    </xf>
    <xf numFmtId="165" fontId="12" fillId="0" borderId="14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 wrapText="1"/>
    </xf>
    <xf numFmtId="3" fontId="16" fillId="0" borderId="14" applyAlignment="1" pivotButton="0" quotePrefix="0" xfId="0">
      <alignment horizontal="center" vertical="center"/>
    </xf>
    <xf numFmtId="3" fontId="12" fillId="0" borderId="14" applyAlignment="1" pivotButton="0" quotePrefix="0" xfId="0">
      <alignment horizontal="center" vertical="center"/>
    </xf>
    <xf numFmtId="166" fontId="12" fillId="0" borderId="14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16" fillId="4" borderId="14" applyAlignment="1" pivotButton="0" quotePrefix="0" xfId="0">
      <alignment horizontal="center" vertical="center" wrapText="1"/>
    </xf>
    <xf numFmtId="0" fontId="1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16" applyAlignment="1" pivotButton="0" quotePrefix="0" xfId="0">
      <alignment horizontal="center" vertical="center" wrapText="1"/>
    </xf>
    <xf numFmtId="165" fontId="12" fillId="0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 wrapText="1"/>
    </xf>
    <xf numFmtId="0" fontId="19" fillId="2" borderId="4" applyAlignment="1" pivotButton="0" quotePrefix="0" xfId="0">
      <alignment horizontal="center" vertical="center" wrapText="1"/>
    </xf>
    <xf numFmtId="0" fontId="19" fillId="2" borderId="1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9" pivotButton="0" quotePrefix="0" xfId="0"/>
    <xf numFmtId="0" fontId="12" fillId="5" borderId="14" applyAlignment="1" pivotButton="0" quotePrefix="0" xfId="0">
      <alignment horizontal="center" vertical="center"/>
    </xf>
    <xf numFmtId="3" fontId="16" fillId="5" borderId="14" applyAlignment="1" pivotButton="0" quotePrefix="0" xfId="0">
      <alignment horizontal="center" vertical="center"/>
    </xf>
    <xf numFmtId="0" fontId="17" fillId="2" borderId="21" applyAlignment="1" pivotButton="0" quotePrefix="0" xfId="0">
      <alignment horizontal="left" vertical="center"/>
    </xf>
    <xf numFmtId="0" fontId="4" fillId="2" borderId="8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3" fontId="8" fillId="2" borderId="8" applyAlignment="1" pivotButton="0" quotePrefix="0" xfId="0">
      <alignment horizontal="center" vertical="center"/>
    </xf>
    <xf numFmtId="3" fontId="4" fillId="2" borderId="8" applyAlignment="1" pivotButton="0" quotePrefix="0" xfId="0">
      <alignment horizontal="center" vertical="center"/>
    </xf>
    <xf numFmtId="166" fontId="4" fillId="2" borderId="8" applyAlignment="1" pivotButton="0" quotePrefix="0" xfId="0">
      <alignment horizontal="center" vertical="center"/>
    </xf>
    <xf numFmtId="165" fontId="4" fillId="2" borderId="9" applyAlignment="1" pivotButton="0" quotePrefix="0" xfId="0">
      <alignment horizontal="center" vertical="center"/>
    </xf>
    <xf numFmtId="0" fontId="12" fillId="6" borderId="22" applyAlignment="1" pivotButton="0" quotePrefix="0" xfId="0">
      <alignment horizontal="center" vertical="center" wrapText="1"/>
    </xf>
    <xf numFmtId="0" fontId="12" fillId="6" borderId="23" applyAlignment="1" pivotButton="0" quotePrefix="0" xfId="0">
      <alignment horizontal="center" vertical="center"/>
    </xf>
    <xf numFmtId="0" fontId="12" fillId="6" borderId="23" applyAlignment="1" pivotButton="0" quotePrefix="0" xfId="0">
      <alignment horizontal="center" vertical="center" wrapText="1"/>
    </xf>
    <xf numFmtId="0" fontId="12" fillId="5" borderId="23" applyAlignment="1" pivotButton="0" quotePrefix="0" xfId="0">
      <alignment horizontal="center" vertical="center"/>
    </xf>
    <xf numFmtId="3" fontId="16" fillId="5" borderId="23" applyAlignment="1" pivotButton="0" quotePrefix="0" xfId="0">
      <alignment horizontal="center" vertical="center"/>
    </xf>
    <xf numFmtId="3" fontId="12" fillId="6" borderId="23" applyAlignment="1" pivotButton="0" quotePrefix="0" xfId="0">
      <alignment horizontal="center" vertical="center"/>
    </xf>
    <xf numFmtId="3" fontId="16" fillId="6" borderId="23" applyAlignment="1" pivotButton="0" quotePrefix="0" xfId="0">
      <alignment horizontal="center" vertical="center"/>
    </xf>
    <xf numFmtId="166" fontId="12" fillId="6" borderId="23" applyAlignment="1" pivotButton="0" quotePrefix="0" xfId="0">
      <alignment horizontal="center" vertical="center"/>
    </xf>
    <xf numFmtId="165" fontId="12" fillId="6" borderId="24" applyAlignment="1" pivotButton="0" quotePrefix="0" xfId="0">
      <alignment horizontal="center" vertical="center"/>
    </xf>
    <xf numFmtId="0" fontId="16" fillId="2" borderId="14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wrapText="1"/>
    </xf>
    <xf numFmtId="165" fontId="12" fillId="0" borderId="0" pivotButton="0" quotePrefix="0" xfId="0"/>
    <xf numFmtId="0" fontId="20" fillId="0" borderId="25" applyAlignment="1" pivotButton="0" quotePrefix="0" xfId="0">
      <alignment horizontal="center" vertical="center"/>
    </xf>
    <xf numFmtId="0" fontId="7" fillId="7" borderId="25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3" fontId="20" fillId="0" borderId="3" applyAlignment="1" pivotButton="0" quotePrefix="0" xfId="0">
      <alignment horizontal="left"/>
    </xf>
    <xf numFmtId="0" fontId="20" fillId="0" borderId="4" applyAlignment="1" pivotButton="0" quotePrefix="0" xfId="0">
      <alignment horizontal="left"/>
    </xf>
    <xf numFmtId="1" fontId="7" fillId="0" borderId="25" applyAlignment="1" pivotButton="0" quotePrefix="0" xfId="0">
      <alignment horizontal="center"/>
    </xf>
    <xf numFmtId="165" fontId="20" fillId="0" borderId="2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Windsor Trading Accounts</author>
  </authors>
  <commentList>
    <comment ref="B34" authorId="0" shapeId="0">
      <text>
        <t>Windsor Trading Accounts:
SOFT FINISH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402430</colOff>
      <row>0</row>
      <rowOff>192879</rowOff>
    </from>
    <to>
      <col>2</col>
      <colOff>561975</colOff>
      <row>5</row>
      <rowOff>47623</rowOff>
    </to>
    <pic>
      <nvPicPr>
        <cNvPr id="19913" name="Picture 4"/>
        <cNvPicPr>
          <a:picLocks noChangeAspect="1" noChangeArrowheads="1"/>
        </cNvPicPr>
      </nvPicPr>
      <blipFill>
        <a:blip cstate="print" r:embed="rId1"/>
        <a:srcRect l="12813" t="16571" r="12813" b="20389"/>
        <a:stretch>
          <a:fillRect/>
        </a:stretch>
      </blipFill>
      <spPr bwMode="auto">
        <a:xfrm>
          <a:off x="1535905" y="192879"/>
          <a:ext cx="2045495" cy="1388269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2.75"/>
  <cols>
    <col width="16" bestFit="1" customWidth="1" min="1" max="1"/>
    <col width="45" bestFit="1" customWidth="1" min="2" max="2"/>
    <col width="8" bestFit="1" customWidth="1" min="3" max="3"/>
    <col width="45" bestFit="1" customWidth="1" min="4" max="4"/>
    <col width="9" bestFit="1" customWidth="1" min="5" max="5"/>
    <col width="8" bestFit="1" customWidth="1" min="6" max="6"/>
    <col width="22" bestFit="1" customWidth="1" min="7" max="7"/>
    <col width="8" bestFit="1" customWidth="1" min="8" max="8"/>
    <col width="8" bestFit="1" customWidth="1" min="9" max="9"/>
    <col width="9" bestFit="1" customWidth="1" min="10" max="10"/>
    <col width="11" bestFit="1" customWidth="1" min="11" max="11"/>
    <col width="8" bestFit="1" customWidth="1" min="12" max="12"/>
    <col width="11" bestFit="1" customWidth="1" min="13" max="13"/>
    <col width="0.85546875" customWidth="1" min="14" max="14"/>
  </cols>
  <sheetData>
    <row r="1" ht="56.25" customHeight="1">
      <c r="E1" s="1" t="inlineStr">
        <is>
          <t>Windsor Trading Australia P/L</t>
        </is>
      </c>
    </row>
    <row r="2" ht="25.5" customHeight="1">
      <c r="E2" s="2" t="inlineStr">
        <is>
          <t xml:space="preserve">The Name Behind Quality Products         </t>
        </is>
      </c>
    </row>
    <row r="3" ht="15.75" customHeight="1">
      <c r="E3" s="3" t="n"/>
      <c r="G3" s="3" t="inlineStr">
        <is>
          <t>10-12 Walter Street, Moorabbin, Victoria, Australia, 3189</t>
        </is>
      </c>
      <c r="H3" s="4" t="n"/>
      <c r="I3" s="4" t="n"/>
      <c r="J3" s="4" t="n"/>
      <c r="L3" s="5" t="n"/>
      <c r="M3" s="6" t="n"/>
      <c r="N3" s="7" t="n"/>
    </row>
    <row r="4" ht="7.5" customHeight="1">
      <c r="H4" s="8" t="n"/>
      <c r="I4" s="8" t="n"/>
      <c r="J4" s="8" t="n"/>
      <c r="L4" s="9" t="n"/>
      <c r="M4" s="10" t="n"/>
      <c r="N4" s="11" t="n"/>
    </row>
    <row r="5" ht="15.75" customHeight="1">
      <c r="E5" s="4" t="n"/>
      <c r="F5" s="3" t="n"/>
      <c r="G5" s="4" t="inlineStr">
        <is>
          <t>Email : - info@windsortrading.com.au</t>
        </is>
      </c>
      <c r="H5" s="4" t="n"/>
      <c r="I5" s="4" t="n"/>
      <c r="J5" s="4" t="n"/>
      <c r="K5" s="3" t="n"/>
      <c r="L5" s="4" t="n"/>
      <c r="M5" s="12" t="n"/>
      <c r="N5" s="7" t="n"/>
    </row>
    <row r="6" ht="15.75" customHeight="1">
      <c r="E6" s="4" t="n"/>
      <c r="F6" s="3" t="n"/>
      <c r="G6" s="4" t="inlineStr">
        <is>
          <t>Phone: - ( 613 ) 9553 1122</t>
        </is>
      </c>
      <c r="I6" s="4" t="n"/>
      <c r="J6" s="4" t="n"/>
      <c r="K6" s="3" t="n"/>
      <c r="L6" s="4" t="n"/>
      <c r="M6" s="12" t="n"/>
      <c r="N6" s="7" t="n"/>
    </row>
    <row r="7" ht="7.5" customHeight="1">
      <c r="B7" s="13" t="n"/>
      <c r="C7" s="13" t="n"/>
      <c r="D7" s="13" t="n"/>
      <c r="H7" s="8" t="n"/>
      <c r="I7" s="8" t="n"/>
      <c r="J7" s="8" t="n"/>
      <c r="L7" s="9" t="n"/>
      <c r="M7" s="10" t="n"/>
      <c r="N7" s="11" t="n"/>
    </row>
    <row r="8" ht="18.75" customHeight="1">
      <c r="B8" s="14" t="inlineStr">
        <is>
          <t>To: - Hengchang Textile Factory</t>
        </is>
      </c>
      <c r="C8" s="15" t="n"/>
      <c r="D8" s="16" t="n"/>
      <c r="E8" s="17" t="n"/>
      <c r="F8" s="17" t="n"/>
      <c r="G8" s="18" t="inlineStr">
        <is>
          <t>Attention: - Chen / Bingbing</t>
        </is>
      </c>
      <c r="H8" s="19" t="n"/>
      <c r="I8" s="19" t="n"/>
      <c r="J8" s="20" t="n"/>
      <c r="L8" s="21" t="n"/>
      <c r="M8" s="22" t="n"/>
      <c r="N8" s="23" t="n"/>
    </row>
    <row r="9" ht="9.75" customHeight="1">
      <c r="B9" s="3" t="n"/>
      <c r="C9" s="12" t="n"/>
      <c r="D9" s="24" t="n"/>
      <c r="E9" s="3" t="n"/>
      <c r="F9" s="3" t="n"/>
      <c r="G9" s="4" t="n"/>
      <c r="H9" s="4" t="n"/>
      <c r="I9" s="4" t="n"/>
      <c r="J9" s="3" t="n"/>
      <c r="L9" s="25" t="n"/>
      <c r="M9" s="12" t="n"/>
      <c r="N9" s="7" t="n"/>
    </row>
    <row r="10" ht="18.75" customHeight="1">
      <c r="B10" s="14" t="inlineStr">
        <is>
          <t xml:space="preserve">Date: - </t>
        </is>
      </c>
      <c r="C10" s="26" t="inlineStr">
        <is>
          <t>04/05/2026</t>
        </is>
      </c>
      <c r="D10" s="27" t="n"/>
      <c r="G10" s="28" t="inlineStr">
        <is>
          <t xml:space="preserve">Order No: - </t>
        </is>
      </c>
      <c r="H10" s="29" t="inlineStr">
        <is>
          <t>260504</t>
        </is>
      </c>
      <c r="I10" s="29" t="n"/>
      <c r="J10" s="30" t="n"/>
      <c r="L10" s="31" t="n"/>
      <c r="M10" s="32" t="n"/>
      <c r="N10" s="33" t="n"/>
    </row>
    <row r="11" ht="6.75" customHeight="1">
      <c r="C11" s="34" t="n"/>
      <c r="D11" s="35" t="n"/>
      <c r="E11" s="36" t="n"/>
      <c r="F11" s="36" t="n"/>
      <c r="G11" s="37" t="n"/>
      <c r="H11" s="38" t="n"/>
      <c r="I11" s="38" t="n"/>
      <c r="J11" s="38" t="n"/>
      <c r="K11" s="36" t="n"/>
      <c r="L11" s="39" t="n"/>
      <c r="M11" s="36" t="n"/>
      <c r="N11" s="40" t="n"/>
    </row>
    <row r="12" ht="20.25" customHeight="1">
      <c r="A12" s="41" t="inlineStr">
        <is>
          <t>Our Number</t>
        </is>
      </c>
      <c r="B12" s="42" t="inlineStr">
        <is>
          <t>Item</t>
        </is>
      </c>
      <c r="C12" s="43" t="inlineStr">
        <is>
          <t>Size</t>
        </is>
      </c>
      <c r="D12" s="44" t="inlineStr">
        <is>
          <t>Colour</t>
        </is>
      </c>
      <c r="E12" s="43" t="inlineStr">
        <is>
          <t xml:space="preserve">Roll / </t>
        </is>
      </c>
      <c r="F12" s="45" t="inlineStr">
        <is>
          <t>Mt /</t>
        </is>
      </c>
      <c r="G12" s="44" t="inlineStr">
        <is>
          <t>Labelled as</t>
        </is>
      </c>
      <c r="H12" s="46" t="inlineStr">
        <is>
          <t>Mt per</t>
        </is>
      </c>
      <c r="I12" s="47" t="inlineStr">
        <is>
          <t>Mt per</t>
        </is>
      </c>
      <c r="J12" s="47" t="inlineStr">
        <is>
          <t>No Of</t>
        </is>
      </c>
      <c r="K12" s="48" t="inlineStr">
        <is>
          <t>FOB Price</t>
        </is>
      </c>
      <c r="L12" s="49" t="inlineStr">
        <is>
          <t>Qty</t>
        </is>
      </c>
      <c r="M12" s="50" t="inlineStr">
        <is>
          <t xml:space="preserve">US $ </t>
        </is>
      </c>
      <c r="N12" s="40" t="n"/>
    </row>
    <row r="13" ht="15.75" customHeight="1">
      <c r="A13" s="51" t="n"/>
      <c r="B13" s="52" t="n"/>
      <c r="C13" s="53" t="n"/>
      <c r="D13" s="54" t="inlineStr">
        <is>
          <t>Name</t>
        </is>
      </c>
      <c r="E13" s="53" t="inlineStr">
        <is>
          <t>Spool</t>
        </is>
      </c>
      <c r="F13" s="55" t="inlineStr">
        <is>
          <t>Unit</t>
        </is>
      </c>
      <c r="G13" s="56" t="inlineStr">
        <is>
          <t>( LINE 2 on Carton )</t>
        </is>
      </c>
      <c r="H13" s="57" t="inlineStr">
        <is>
          <t>Carton</t>
        </is>
      </c>
      <c r="I13" s="58" t="inlineStr">
        <is>
          <t>Pallet</t>
        </is>
      </c>
      <c r="J13" s="58" t="inlineStr">
        <is>
          <t>Pallets</t>
        </is>
      </c>
      <c r="K13" s="57" t="inlineStr">
        <is>
          <t>per mt</t>
        </is>
      </c>
      <c r="L13" s="59" t="n"/>
      <c r="M13" s="60" t="n"/>
      <c r="N13" s="40" t="n"/>
    </row>
    <row r="14" ht="13.5" customHeight="1">
      <c r="A14" s="61" t="n"/>
      <c r="B14" s="62" t="n"/>
      <c r="C14" s="62" t="n"/>
      <c r="D14" s="37" t="n"/>
      <c r="E14" s="62" t="n"/>
      <c r="F14" s="62" t="n"/>
      <c r="G14" s="37" t="n"/>
      <c r="H14" s="38" t="n"/>
      <c r="I14" s="38" t="n"/>
      <c r="J14" s="38" t="n"/>
      <c r="K14" s="63" t="n"/>
      <c r="L14" s="64" t="n"/>
      <c r="M14" s="65" t="n"/>
      <c r="N14" s="40" t="n"/>
    </row>
    <row r="15" ht="25.5" customHeight="1">
      <c r="A15" s="66" t="inlineStr">
        <is>
          <t>ELBH 9B</t>
        </is>
      </c>
      <c r="B15" s="67" t="inlineStr">
        <is>
          <t>Polyester Heavy Braided Elastic</t>
        </is>
      </c>
      <c r="C15" s="68" t="inlineStr">
        <is>
          <t>9 mm</t>
        </is>
      </c>
      <c r="D15" s="69" t="inlineStr">
        <is>
          <t>Black</t>
        </is>
      </c>
      <c r="E15" s="70" t="inlineStr">
        <is>
          <t>Spool</t>
        </is>
      </c>
      <c r="F15" s="68" t="n">
        <v>200</v>
      </c>
      <c r="G15" s="68" t="inlineStr">
        <is>
          <t>ELBH - 9 MM</t>
        </is>
      </c>
      <c r="H15" s="71" t="n">
        <v>2000</v>
      </c>
      <c r="I15" s="72" t="n"/>
      <c r="J15" s="73" t="n">
        <v>0</v>
      </c>
      <c r="K15" s="74" t="n">
        <v>0.0311</v>
      </c>
      <c r="L15" s="73" t="n">
        <v>4000</v>
      </c>
      <c r="M15" s="75">
        <f>K15*L15</f>
        <v/>
      </c>
      <c r="N15" s="76" t="n"/>
    </row>
    <row r="16" ht="25.5" customHeight="1">
      <c r="A16" s="66" t="inlineStr">
        <is>
          <t>ELKC 38W</t>
        </is>
      </c>
      <c r="B16" s="77" t="inlineStr">
        <is>
          <t>Polyester 37 Gauge Corded Elastic</t>
        </is>
      </c>
      <c r="C16" s="68" t="inlineStr">
        <is>
          <t>38 mm</t>
        </is>
      </c>
      <c r="D16" s="69" t="inlineStr">
        <is>
          <t>White</t>
        </is>
      </c>
      <c r="E16" s="68" t="inlineStr">
        <is>
          <t>Lay</t>
        </is>
      </c>
      <c r="F16" s="68" t="n"/>
      <c r="G16" s="68" t="inlineStr">
        <is>
          <t>ELKC - 38 MM</t>
        </is>
      </c>
      <c r="H16" s="78" t="n">
        <v>500</v>
      </c>
      <c r="I16" s="79" t="n"/>
      <c r="J16" s="78" t="n">
        <v>0</v>
      </c>
      <c r="K16" s="80" t="n">
        <v>0.1078</v>
      </c>
      <c r="L16" s="78" t="n">
        <v>5000</v>
      </c>
      <c r="M16" s="75">
        <f>K16*L16</f>
        <v/>
      </c>
      <c r="N16" s="76" t="n"/>
    </row>
    <row r="17" ht="25.5" customHeight="1">
      <c r="A17" s="66" t="inlineStr">
        <is>
          <t>ELKSF 25B</t>
        </is>
      </c>
      <c r="B17" s="77" t="inlineStr">
        <is>
          <t>Polyester 37 Gauge Knitted Elastic</t>
        </is>
      </c>
      <c r="C17" s="68" t="inlineStr">
        <is>
          <t>25 mm</t>
        </is>
      </c>
      <c r="D17" s="69" t="inlineStr">
        <is>
          <t>Black</t>
        </is>
      </c>
      <c r="E17" s="68" t="inlineStr">
        <is>
          <t>Lay</t>
        </is>
      </c>
      <c r="F17" s="68" t="n"/>
      <c r="G17" s="68" t="inlineStr">
        <is>
          <t>ELKSF - 25 MM</t>
        </is>
      </c>
      <c r="H17" s="78" t="n">
        <v>1000</v>
      </c>
      <c r="I17" s="79" t="n"/>
      <c r="J17" s="78" t="n">
        <v>0</v>
      </c>
      <c r="K17" s="80" t="n">
        <v>0.0446</v>
      </c>
      <c r="L17" s="78" t="n">
        <v>2000</v>
      </c>
      <c r="M17" s="75">
        <f>K17*L17</f>
        <v/>
      </c>
      <c r="N17" s="76" t="n"/>
    </row>
    <row r="18"/>
    <row r="19">
      <c r="A19" s="66" t="inlineStr">
        <is>
          <t>HBTP15 BLACK</t>
        </is>
      </c>
      <c r="B19" s="77" t="inlineStr">
        <is>
          <t>Polyester Tape</t>
        </is>
      </c>
      <c r="C19" s="68" t="inlineStr">
        <is>
          <t>15 mm</t>
        </is>
      </c>
      <c r="D19" s="69" t="inlineStr">
        <is>
          <t>Black</t>
        </is>
      </c>
      <c r="E19" s="68" t="inlineStr">
        <is>
          <t>Spool</t>
        </is>
      </c>
      <c r="F19" s="68" t="n">
        <v>200</v>
      </c>
      <c r="G19" s="68" t="inlineStr">
        <is>
          <t>HBTP - 15 MM</t>
        </is>
      </c>
      <c r="H19" s="78" t="n">
        <v>2000</v>
      </c>
      <c r="I19" s="79" t="n"/>
      <c r="J19" s="78" t="n">
        <v>0</v>
      </c>
      <c r="K19" s="80" t="n">
        <v>0.0274</v>
      </c>
      <c r="L19" s="78" t="n">
        <v>20000</v>
      </c>
      <c r="M19" s="75">
        <f>K19*L19</f>
        <v/>
      </c>
      <c r="N19" s="76" t="n"/>
    </row>
    <row r="20"/>
    <row r="21">
      <c r="A21" s="66" t="inlineStr">
        <is>
          <t>HBTP22 CHEST</t>
        </is>
      </c>
      <c r="B21" s="77" t="inlineStr">
        <is>
          <t>Polyester Tape</t>
        </is>
      </c>
      <c r="C21" s="68" t="inlineStr">
        <is>
          <t>22 mm</t>
        </is>
      </c>
      <c r="D21" s="69" t="inlineStr">
        <is>
          <t>Chestnut - R 2011</t>
        </is>
      </c>
      <c r="E21" s="68" t="inlineStr">
        <is>
          <t>Spool</t>
        </is>
      </c>
      <c r="F21" s="68" t="n">
        <v>200</v>
      </c>
      <c r="G21" s="68" t="inlineStr">
        <is>
          <t>HBTP - 22 MM</t>
        </is>
      </c>
      <c r="H21" s="78" t="n">
        <v>2000</v>
      </c>
      <c r="I21" s="79" t="n"/>
      <c r="J21" s="78" t="n">
        <v>0</v>
      </c>
      <c r="K21" s="80" t="n">
        <v>0.0322</v>
      </c>
      <c r="L21" s="78" t="n">
        <v>20000</v>
      </c>
      <c r="M21" s="75">
        <f>K21*L21</f>
        <v/>
      </c>
      <c r="N21" s="76" t="n"/>
    </row>
    <row r="22">
      <c r="A22" s="66" t="inlineStr">
        <is>
          <t>HBTP22 DUSTY</t>
        </is>
      </c>
      <c r="B22" s="77" t="inlineStr">
        <is>
          <t>Polyester Tape</t>
        </is>
      </c>
      <c r="C22" s="68" t="inlineStr">
        <is>
          <t>22 mm</t>
        </is>
      </c>
      <c r="D22" s="69" t="inlineStr">
        <is>
          <t>Dusty Pink - 7994</t>
        </is>
      </c>
      <c r="E22" s="68" t="inlineStr">
        <is>
          <t>Spool</t>
        </is>
      </c>
      <c r="F22" s="81" t="n">
        <v>200</v>
      </c>
      <c r="G22" s="68" t="inlineStr">
        <is>
          <t>HBTP - 22 MM</t>
        </is>
      </c>
      <c r="H22" s="78" t="n">
        <v>2000</v>
      </c>
      <c r="I22" s="79" t="n"/>
      <c r="J22" s="78" t="n">
        <v>0</v>
      </c>
      <c r="K22" s="80" t="n">
        <v>0.0322</v>
      </c>
      <c r="L22" s="78" t="n">
        <v>2000</v>
      </c>
      <c r="M22" s="75">
        <f>K22*L22</f>
        <v/>
      </c>
    </row>
    <row r="23"/>
    <row r="24" ht="25.5" customHeight="1">
      <c r="A24" s="66" t="inlineStr">
        <is>
          <t>SFW38B</t>
        </is>
      </c>
      <c r="B24" s="77" t="inlineStr">
        <is>
          <t>High Strength Poly Shadeflex Webbing</t>
        </is>
      </c>
      <c r="C24" s="68" t="inlineStr">
        <is>
          <t>38 mm</t>
        </is>
      </c>
      <c r="D24" s="82" t="inlineStr">
        <is>
          <t>Dope - Dyed Black</t>
        </is>
      </c>
      <c r="E24" s="68" t="inlineStr">
        <is>
          <t>Roll</t>
        </is>
      </c>
      <c r="F24" s="68" t="n">
        <v>100</v>
      </c>
      <c r="G24" s="69" t="inlineStr">
        <is>
          <t>SFW - 38 MM</t>
        </is>
      </c>
      <c r="H24" s="78" t="n">
        <v>500</v>
      </c>
      <c r="I24" s="79" t="n"/>
      <c r="J24" s="78" t="n">
        <v>0</v>
      </c>
      <c r="K24" s="80" t="n">
        <v>0.132</v>
      </c>
      <c r="L24" s="78" t="n">
        <v>5000</v>
      </c>
      <c r="M24" s="75">
        <f>K24*L24</f>
        <v/>
      </c>
      <c r="N24" s="76" t="n"/>
    </row>
    <row r="25" ht="25.5" customHeight="1">
      <c r="A25" s="66" t="inlineStr">
        <is>
          <t>SFW50FY</t>
        </is>
      </c>
      <c r="B25" s="77" t="inlineStr">
        <is>
          <t>High Strength Poly Shadeflex Webbing</t>
        </is>
      </c>
      <c r="C25" s="68" t="inlineStr">
        <is>
          <t>50 mm</t>
        </is>
      </c>
      <c r="D25" s="69" t="inlineStr">
        <is>
          <t>Fluoro Yellow A5985</t>
        </is>
      </c>
      <c r="E25" s="68" t="inlineStr">
        <is>
          <t>Roll</t>
        </is>
      </c>
      <c r="F25" s="68" t="n">
        <v>100</v>
      </c>
      <c r="G25" s="69" t="inlineStr">
        <is>
          <t>SFW - 50 MM</t>
        </is>
      </c>
      <c r="H25" s="78" t="n">
        <v>400</v>
      </c>
      <c r="I25" s="79" t="n"/>
      <c r="J25" s="78" t="n">
        <v>0</v>
      </c>
      <c r="K25" s="80" t="n">
        <v>0.2529</v>
      </c>
      <c r="L25" s="78" t="n">
        <v>2000</v>
      </c>
      <c r="M25" s="75">
        <f>K25*L25</f>
        <v/>
      </c>
      <c r="N25" s="76" t="n"/>
    </row>
    <row r="26" ht="16.5" customHeight="1">
      <c r="A26" s="66" t="n"/>
      <c r="B26" s="83" t="inlineStr">
        <is>
          <t>Special Colours for ABC Textile Fabrication</t>
        </is>
      </c>
      <c r="C26" s="84" t="n"/>
      <c r="D26" s="84" t="n"/>
      <c r="E26" s="84" t="n"/>
      <c r="F26" s="84" t="n"/>
      <c r="G26" s="84" t="n"/>
      <c r="H26" s="84" t="n"/>
      <c r="I26" s="84" t="n"/>
      <c r="J26" s="84" t="n"/>
      <c r="K26" s="84" t="n"/>
      <c r="L26" s="84" t="n"/>
      <c r="M26" s="27" t="n"/>
      <c r="N26" s="76" t="n"/>
    </row>
    <row r="27" ht="25.5" customHeight="1">
      <c r="A27" s="66" t="inlineStr">
        <is>
          <t>SFW48 ABC CHAR</t>
        </is>
      </c>
      <c r="B27" s="67" t="inlineStr">
        <is>
          <t>High Strength Poly Shadeflex Webbing</t>
        </is>
      </c>
      <c r="C27" s="70" t="inlineStr">
        <is>
          <t>48 mm</t>
        </is>
      </c>
      <c r="D27" s="85" t="inlineStr">
        <is>
          <t xml:space="preserve">ABC Charcoal X10883 </t>
        </is>
      </c>
      <c r="E27" s="70" t="inlineStr">
        <is>
          <t>Roll</t>
        </is>
      </c>
      <c r="F27" s="70" t="n">
        <v>100</v>
      </c>
      <c r="G27" s="85" t="inlineStr">
        <is>
          <t>SFW - 48 MM</t>
        </is>
      </c>
      <c r="H27" s="73" t="n">
        <v>400</v>
      </c>
      <c r="I27" s="72" t="n"/>
      <c r="J27" s="73" t="n">
        <v>0</v>
      </c>
      <c r="K27" s="74" t="n">
        <v>0.248</v>
      </c>
      <c r="L27" s="73" t="n">
        <v>800</v>
      </c>
      <c r="M27" s="86">
        <f>K27*L27</f>
        <v/>
      </c>
      <c r="N27" s="76" t="n"/>
    </row>
    <row r="28"/>
    <row r="29" ht="13.5" customHeight="1">
      <c r="A29" s="66" t="inlineStr">
        <is>
          <t>WEBPP25B</t>
        </is>
      </c>
      <c r="B29" s="87" t="inlineStr">
        <is>
          <t>UV Polyprop Webbing</t>
        </is>
      </c>
      <c r="C29" s="68" t="inlineStr">
        <is>
          <t>25 mm</t>
        </is>
      </c>
      <c r="D29" s="69" t="inlineStr">
        <is>
          <t>Black</t>
        </is>
      </c>
      <c r="E29" s="68" t="inlineStr">
        <is>
          <t>Roll</t>
        </is>
      </c>
      <c r="F29" s="68" t="n">
        <v>50</v>
      </c>
      <c r="G29" s="68" t="inlineStr">
        <is>
          <t>WEBPP - 25 MM</t>
        </is>
      </c>
      <c r="H29" s="78" t="n">
        <v>500</v>
      </c>
      <c r="I29" s="79" t="n"/>
      <c r="J29" s="78" t="n">
        <v>0</v>
      </c>
      <c r="K29" s="80" t="n">
        <v>0.043</v>
      </c>
      <c r="L29" s="78" t="n">
        <v>30000</v>
      </c>
      <c r="M29" s="75">
        <f>K29*L29</f>
        <v/>
      </c>
      <c r="N29" s="76" t="n"/>
    </row>
    <row r="30" ht="25.5" customHeight="1">
      <c r="A30" s="66" t="inlineStr">
        <is>
          <t>WEBPP50B</t>
        </is>
      </c>
      <c r="B30" s="87" t="inlineStr">
        <is>
          <t>UV Polyprop Webbing</t>
        </is>
      </c>
      <c r="C30" s="68" t="inlineStr">
        <is>
          <t>50 mm</t>
        </is>
      </c>
      <c r="D30" s="69" t="inlineStr">
        <is>
          <t>Black</t>
        </is>
      </c>
      <c r="E30" s="68" t="inlineStr">
        <is>
          <t>Roll</t>
        </is>
      </c>
      <c r="F30" s="68" t="n">
        <v>50</v>
      </c>
      <c r="G30" s="68" t="inlineStr">
        <is>
          <t>WEBPP - 50 MM</t>
        </is>
      </c>
      <c r="H30" s="78" t="n">
        <v>500</v>
      </c>
      <c r="I30" s="79" t="n"/>
      <c r="J30" s="78" t="n">
        <v>0</v>
      </c>
      <c r="K30" s="80" t="n">
        <v>0.08599999999999999</v>
      </c>
      <c r="L30" s="78" t="n">
        <v>10000</v>
      </c>
      <c r="M30" s="75">
        <f>K30*L30</f>
        <v/>
      </c>
      <c r="N30" s="76" t="n"/>
    </row>
    <row r="31" ht="21" customHeight="1">
      <c r="A31" s="66" t="n"/>
      <c r="B31" s="88" t="inlineStr">
        <is>
          <t>High Strength Polyester Webbing 50 mm Jacquard - BELL CANVAS AUSTRALIA</t>
        </is>
      </c>
      <c r="C31" s="84" t="n"/>
      <c r="D31" s="84" t="n"/>
      <c r="E31" s="84" t="n"/>
      <c r="F31" s="84" t="n"/>
      <c r="G31" s="84" t="n"/>
      <c r="H31" s="84" t="n"/>
      <c r="I31" s="84" t="n"/>
      <c r="J31" s="84" t="n"/>
      <c r="K31" s="84" t="n"/>
      <c r="L31" s="84" t="n"/>
      <c r="M31" s="27" t="n"/>
      <c r="N31" s="76" t="n"/>
    </row>
    <row r="32" ht="38.25" customHeight="1">
      <c r="A32" s="66" t="inlineStr">
        <is>
          <t>WEBRG 25B</t>
        </is>
      </c>
      <c r="B32" s="77" t="inlineStr">
        <is>
          <t>G0001 High Strength Polyester Webbing</t>
        </is>
      </c>
      <c r="C32" s="68" t="inlineStr">
        <is>
          <t>25 mm</t>
        </is>
      </c>
      <c r="D32" s="69" t="inlineStr">
        <is>
          <t>Black</t>
        </is>
      </c>
      <c r="E32" s="68" t="inlineStr">
        <is>
          <t>Roll</t>
        </is>
      </c>
      <c r="F32" s="68" t="n">
        <v>50</v>
      </c>
      <c r="G32" s="68" t="inlineStr">
        <is>
          <t>WEBRG - 25 MM</t>
        </is>
      </c>
      <c r="H32" s="78" t="n">
        <v>1000</v>
      </c>
      <c r="I32" s="79" t="n"/>
      <c r="J32" s="78" t="n">
        <v>0</v>
      </c>
      <c r="K32" s="80" t="n">
        <v>0.0732</v>
      </c>
      <c r="L32" s="78" t="n">
        <v>3000</v>
      </c>
      <c r="M32" s="75">
        <f>K32*L32</f>
        <v/>
      </c>
      <c r="N32" s="76" t="n"/>
    </row>
    <row r="33" ht="20.25" customHeight="1">
      <c r="A33" s="66" t="n"/>
      <c r="B33" s="89" t="inlineStr">
        <is>
          <t>Please note that this batch must have a little RUBBER and the cartons must be labelled as normal</t>
        </is>
      </c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1" t="n"/>
      <c r="N33" s="76" t="n"/>
    </row>
    <row r="34" ht="38.25" customHeight="1">
      <c r="A34" s="66" t="inlineStr">
        <is>
          <t>MTL36 MM1</t>
        </is>
      </c>
      <c r="B34" s="77" t="inlineStr">
        <is>
          <t>Poly Mattress Tape</t>
        </is>
      </c>
      <c r="C34" s="68" t="inlineStr">
        <is>
          <t>36 mm</t>
        </is>
      </c>
      <c r="D34" s="69" t="inlineStr">
        <is>
          <t>MM1 Brown T867/Chocolate T638 E 70426</t>
        </is>
      </c>
      <c r="E34" s="68" t="inlineStr">
        <is>
          <t>Roll</t>
        </is>
      </c>
      <c r="F34" s="92" t="n">
        <v>100</v>
      </c>
      <c r="G34" s="69" t="inlineStr">
        <is>
          <t>MTL - 36 MM</t>
        </is>
      </c>
      <c r="H34" s="93" t="n">
        <v>1000</v>
      </c>
      <c r="I34" s="79" t="n"/>
      <c r="J34" s="78" t="n">
        <v>0</v>
      </c>
      <c r="K34" s="80" t="n">
        <v>0.0457</v>
      </c>
      <c r="L34" s="78" t="n">
        <v>20000</v>
      </c>
      <c r="M34" s="75">
        <f>K34*L34</f>
        <v/>
      </c>
    </row>
    <row r="35" ht="16.5" customHeight="1">
      <c r="A35" s="66" t="n"/>
      <c r="B35" s="94" t="inlineStr">
        <is>
          <t>Please note that this batch must have NO RUBBER and the cartons must be labelled with CAN at the end of the colour.</t>
        </is>
      </c>
      <c r="C35" s="95" t="n"/>
      <c r="D35" s="96" t="n"/>
      <c r="E35" s="95" t="n"/>
      <c r="F35" s="95" t="n"/>
      <c r="G35" s="96" t="n"/>
      <c r="H35" s="97" t="n"/>
      <c r="I35" s="98" t="n"/>
      <c r="J35" s="97" t="n"/>
      <c r="K35" s="99" t="n"/>
      <c r="L35" s="97" t="n"/>
      <c r="M35" s="100" t="n"/>
      <c r="N35" s="76" t="n"/>
    </row>
    <row r="36" ht="45.75" customHeight="1">
      <c r="A36" s="66" t="inlineStr">
        <is>
          <t>MTL36 MM2CAN</t>
        </is>
      </c>
      <c r="B36" s="101" t="inlineStr">
        <is>
          <t>Poly Mattress Tape</t>
        </is>
      </c>
      <c r="C36" s="102" t="inlineStr">
        <is>
          <t>36 mm</t>
        </is>
      </c>
      <c r="D36" s="103" t="inlineStr">
        <is>
          <t>MM2 Beige T3004 / Chocolate E70425 / Beige E70423</t>
        </is>
      </c>
      <c r="E36" s="102" t="inlineStr">
        <is>
          <t>Roll</t>
        </is>
      </c>
      <c r="F36" s="104" t="n">
        <v>100</v>
      </c>
      <c r="G36" s="103" t="inlineStr">
        <is>
          <t>MTL - 36 MM</t>
        </is>
      </c>
      <c r="H36" s="105" t="n">
        <v>1000</v>
      </c>
      <c r="I36" s="106" t="n"/>
      <c r="J36" s="107" t="n">
        <v>0</v>
      </c>
      <c r="K36" s="108" t="n">
        <v>0.0457</v>
      </c>
      <c r="L36" s="107" t="n">
        <v>6000</v>
      </c>
      <c r="M36" s="109">
        <f>K36*L36</f>
        <v/>
      </c>
      <c r="N36" s="76" t="n"/>
    </row>
    <row r="37"/>
    <row r="38" ht="13.5" customHeight="1">
      <c r="A38" s="66" t="inlineStr">
        <is>
          <t>LMTS36 CHAR</t>
        </is>
      </c>
      <c r="B38" s="77" t="inlineStr">
        <is>
          <t>Poly Mattress Tape</t>
        </is>
      </c>
      <c r="C38" s="68" t="inlineStr">
        <is>
          <t>36 mm</t>
        </is>
      </c>
      <c r="D38" s="68" t="inlineStr">
        <is>
          <t>Charcoal T 2055</t>
        </is>
      </c>
      <c r="E38" s="110" t="inlineStr">
        <is>
          <t>Lay</t>
        </is>
      </c>
      <c r="F38" s="68" t="n"/>
      <c r="G38" s="69" t="inlineStr">
        <is>
          <t>LMTS - 36 MM</t>
        </is>
      </c>
      <c r="H38" s="78" t="n">
        <v>2000</v>
      </c>
      <c r="I38" s="79" t="n"/>
      <c r="J38" s="78" t="n">
        <v>0</v>
      </c>
      <c r="K38" s="80" t="n">
        <v>0.0347</v>
      </c>
      <c r="L38" s="78" t="n">
        <v>20000</v>
      </c>
      <c r="M38" s="75">
        <f>K38*L38</f>
        <v/>
      </c>
      <c r="N38" s="76" t="n"/>
    </row>
    <row r="39" ht="13.5" customHeight="1">
      <c r="B39" s="111" t="n"/>
      <c r="C39" s="62" t="n"/>
      <c r="D39" s="37" t="n"/>
      <c r="E39" s="62" t="n"/>
      <c r="F39" s="62" t="n"/>
      <c r="G39" s="37" t="n"/>
      <c r="H39" s="64" t="n"/>
      <c r="I39" s="38" t="n"/>
      <c r="J39" s="64" t="n"/>
      <c r="K39" s="63" t="n"/>
      <c r="L39" s="64" t="n"/>
      <c r="M39" s="112" t="n"/>
    </row>
    <row r="40" ht="18.75" customHeight="1">
      <c r="B40" s="113" t="inlineStr">
        <is>
          <t>Method of Transport - BY SEA</t>
        </is>
      </c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27" t="n"/>
    </row>
    <row r="41" ht="13.5" customHeight="1"/>
    <row r="42" ht="18.75" customHeight="1">
      <c r="B42" s="114" t="inlineStr">
        <is>
          <t xml:space="preserve">Special Instructions: - </t>
        </is>
      </c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27" t="n"/>
    </row>
    <row r="43" ht="13.5" customHeight="1"/>
    <row r="44" ht="18.75" customHeight="1">
      <c r="B44" s="34" t="n"/>
      <c r="D44" s="115" t="n"/>
      <c r="G44" s="116" t="inlineStr">
        <is>
          <t>Order Total</t>
        </is>
      </c>
      <c r="H44" s="117" t="n"/>
      <c r="I44" s="117" t="n"/>
      <c r="J44" s="117" t="n"/>
      <c r="K44" s="118" t="n"/>
      <c r="L44" s="119" t="inlineStr">
        <is>
          <t xml:space="preserve">US $ </t>
        </is>
      </c>
      <c r="M44" s="120">
        <f>SUM(M15:M38)</f>
        <v/>
      </c>
    </row>
  </sheetData>
  <mergeCells count="9">
    <mergeCell ref="E2:M2"/>
    <mergeCell ref="B33:M33"/>
    <mergeCell ref="E1:M1"/>
    <mergeCell ref="B42:M42"/>
    <mergeCell ref="C10:D10"/>
    <mergeCell ref="A12:A13"/>
    <mergeCell ref="B31:M31"/>
    <mergeCell ref="B40:M40"/>
    <mergeCell ref="B26:M26"/>
  </mergeCells>
  <printOptions gridLines="1" gridLinesSet="0"/>
  <pageMargins left="0.03937007874015748" right="0.03937007874015748" top="0.07874015748031496" bottom="0.07874015748031496" header="0.07874015748031496" footer="0.07874015748031496"/>
  <pageSetup orientation="landscape" paperSize="9" verticalDpi="30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2026-05-04T06:14:21Z</dcterms:created>
  <dcterms:modified xsi:type="dcterms:W3CDTF">2026-05-04T06:14:21Z</dcterms:modified>
</cp:coreProperties>
</file>