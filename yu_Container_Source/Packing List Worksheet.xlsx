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WindsorTradingInfo\Documents\Reports\OUTPUT\"/>
    </mc:Choice>
  </mc:AlternateContent>
  <xr:revisionPtr revIDLastSave="0" documentId="13_ncr:1_{E7DAE814-D673-4B47-9A10-A251B9CFF766}" xr6:coauthVersionLast="47" xr6:coauthVersionMax="47" xr10:uidLastSave="{00000000-0000-0000-0000-000000000000}"/>
  <bookViews>
    <workbookView xWindow="28680" yWindow="-120" windowWidth="29040" windowHeight="15720" activeTab="1" xr2:uid="{8B93D013-CE4D-4CC4-9E29-EDE093B8EF1D}"/>
  </bookViews>
  <sheets>
    <sheet name="PackingList" sheetId="1" r:id="rId1"/>
    <sheet name="Invoice" sheetId="2" r:id="rId2"/>
  </sheets>
  <definedNames>
    <definedName name="_xlnm._FilterDatabase" localSheetId="0" hidden="1">PackingList!$A$22:$L$135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4" i="2" l="1"/>
  <c r="J132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H135" i="1"/>
  <c r="I135" i="1"/>
  <c r="G20" i="1" s="1"/>
  <c r="J135" i="1"/>
  <c r="H20" i="1" s="1"/>
  <c r="K135" i="1"/>
  <c r="J20" i="1" s="1"/>
  <c r="J13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5B4C5-E4FD-41E5-BEB7-DFB306A152D0}" keepAlive="1" name="Query - POIMPORT TEMPLATEMATCH" description="Connection to the 'POIMPORT TEMPLATEMATCH' query in the workbook." type="5" refreshedVersion="8" background="1" saveData="1">
    <dbPr connection="Provider=Microsoft.Mashup.OleDb.1;Data Source=$Workbook$;Location=&quot;POIMPORT TEMPLATEMATCH&quot;;Extended Properties=&quot;&quot;" command="SELECT * FROM [POIMPORT TEMPLATEMATCH]"/>
  </connection>
</connections>
</file>

<file path=xl/sharedStrings.xml><?xml version="1.0" encoding="utf-8"?>
<sst xmlns="http://schemas.openxmlformats.org/spreadsheetml/2006/main" count="1627" uniqueCount="390">
  <si>
    <t>台 山 市 东 兴 贸 易 有 限 公 司</t>
  </si>
  <si>
    <t xml:space="preserve">  TAISHAN DONGXING TRADE CO.,LTD</t>
  </si>
  <si>
    <r>
      <t>Shop115/127/128 No.9 Xianglong Road One Taicheng,Taishan City</t>
    </r>
    <r>
      <rPr>
        <b/>
        <sz val="12"/>
        <rFont val="宋体"/>
        <charset val="134"/>
      </rPr>
      <t>，Guangdong Province,</t>
    </r>
    <r>
      <rPr>
        <b/>
        <sz val="12"/>
        <rFont val="Times New Roman"/>
        <family val="1"/>
      </rPr>
      <t>CHINA</t>
    </r>
  </si>
  <si>
    <t>TEL. 86-750-5617778   FAX.86-750-5617800</t>
  </si>
  <si>
    <t>PACKING LIST</t>
  </si>
  <si>
    <t xml:space="preserve">        Exporter:</t>
  </si>
  <si>
    <t xml:space="preserve">  Invoice No. &amp; Date</t>
  </si>
  <si>
    <t xml:space="preserve">            TAISHAN DONGXING TRADE CO.,LTD</t>
  </si>
  <si>
    <t>26040028 2026-04-28</t>
  </si>
  <si>
    <r>
      <t xml:space="preserve">      Shop115/127/128 No.9 Xianglong Road One Taicheng,Taishan City</t>
    </r>
    <r>
      <rPr>
        <sz val="10"/>
        <rFont val="宋体"/>
        <charset val="134"/>
      </rPr>
      <t>，</t>
    </r>
  </si>
  <si>
    <t>PCIU8414429/40'</t>
  </si>
  <si>
    <t xml:space="preserve">            GUANGDONG，CHINA, </t>
  </si>
  <si>
    <t xml:space="preserve">   L/C No. &amp; Date</t>
  </si>
  <si>
    <t xml:space="preserve">        Consignee:</t>
  </si>
  <si>
    <t xml:space="preserve">            Windsor Trading Australia P/L..</t>
  </si>
  <si>
    <t xml:space="preserve">            PO BOX 774 MOORABBIN VIC 3189</t>
  </si>
  <si>
    <t xml:space="preserve">  Order No.</t>
  </si>
  <si>
    <t xml:space="preserve">            AUSTRALIA</t>
  </si>
  <si>
    <t>Port of Loading</t>
  </si>
  <si>
    <t>Vessl Name/Flight Number</t>
  </si>
  <si>
    <t>Shipping Terms</t>
  </si>
  <si>
    <t>Container Number</t>
  </si>
  <si>
    <t>Shenzhen,CHINA</t>
  </si>
  <si>
    <t>FOB CHINA</t>
  </si>
  <si>
    <t>TSSU5208748</t>
  </si>
  <si>
    <t>Port of Discharge</t>
  </si>
  <si>
    <t>Final Destination</t>
  </si>
  <si>
    <t xml:space="preserve">Package </t>
  </si>
  <si>
    <t>Net Weight(kgs)</t>
  </si>
  <si>
    <t>Gross Weight(kgs)</t>
  </si>
  <si>
    <t>MELBOURNE,AUSTRALIA</t>
  </si>
  <si>
    <t>Item</t>
  </si>
  <si>
    <t>WT</t>
  </si>
  <si>
    <t>Size</t>
  </si>
  <si>
    <t>Colour</t>
  </si>
  <si>
    <t xml:space="preserve">Roll / </t>
  </si>
  <si>
    <t>Mt /</t>
  </si>
  <si>
    <t>Labelled</t>
  </si>
  <si>
    <t>Qty</t>
  </si>
  <si>
    <t>Package</t>
  </si>
  <si>
    <t xml:space="preserve">N.W </t>
  </si>
  <si>
    <t xml:space="preserve">G.W </t>
  </si>
  <si>
    <t xml:space="preserve">CBM </t>
  </si>
  <si>
    <t>O/No</t>
  </si>
  <si>
    <t>Name</t>
  </si>
  <si>
    <t>Spool</t>
  </si>
  <si>
    <t>Unit</t>
  </si>
  <si>
    <t>As</t>
  </si>
  <si>
    <t>(M)</t>
  </si>
  <si>
    <t>(KGS)</t>
  </si>
  <si>
    <t>(CM)</t>
  </si>
  <si>
    <t>Poly Mattress Tape</t>
  </si>
  <si>
    <t>36 mm</t>
  </si>
  <si>
    <t>Solid Black</t>
  </si>
  <si>
    <t>Roll</t>
  </si>
  <si>
    <t>MTYC707 - 36 MM</t>
  </si>
  <si>
    <t>66*33*20.5</t>
  </si>
  <si>
    <t>Polyester Tape</t>
  </si>
  <si>
    <t>22 mm</t>
  </si>
  <si>
    <t>Chestnut - R 2011</t>
  </si>
  <si>
    <t>HBTP - 22 MM</t>
  </si>
  <si>
    <t>71*31*21</t>
  </si>
  <si>
    <t>Black</t>
  </si>
  <si>
    <t>MT - 36 MM</t>
  </si>
  <si>
    <t>64*32*20.5</t>
  </si>
  <si>
    <t>Poly Handle Tape</t>
  </si>
  <si>
    <t>50 mm</t>
  </si>
  <si>
    <t>White</t>
  </si>
  <si>
    <t>MTCH - 50 MM</t>
  </si>
  <si>
    <t>30*30*27</t>
  </si>
  <si>
    <t>X14756 / FE0012</t>
  </si>
  <si>
    <t>MT4043 - 36 MM STEEL</t>
  </si>
  <si>
    <t>68*34*20.5</t>
  </si>
  <si>
    <t>T2274 / T6315 Light Grey</t>
  </si>
  <si>
    <t>MT4001 - 36 MM Light Grey</t>
  </si>
  <si>
    <t>X10775 / FE0005 (Ripple Silver)</t>
  </si>
  <si>
    <t>MT4043 - 36 MM RIPPLE SILVER</t>
  </si>
  <si>
    <t>15 mm</t>
  </si>
  <si>
    <t>HBTP - 15 MM</t>
  </si>
  <si>
    <t>MM1 Brown T867/Chocolate T638 E 70426</t>
  </si>
  <si>
    <t>MTL - 36 MM</t>
  </si>
  <si>
    <t>Beige T297 / Tan T307</t>
  </si>
  <si>
    <t>MTS - 36 MM NIMBUS</t>
  </si>
  <si>
    <t>69.5*35*20.5</t>
  </si>
  <si>
    <t>Navy - T1481</t>
  </si>
  <si>
    <t>MTS - 36 MM</t>
  </si>
  <si>
    <t>69.5*35.5*20.5</t>
  </si>
  <si>
    <t>Royal - 507</t>
  </si>
  <si>
    <t>62*31*20.5</t>
  </si>
  <si>
    <t>251216 CS</t>
  </si>
  <si>
    <t>Taupe T3748 with highlight colour Brown T5917</t>
  </si>
  <si>
    <t>MT4025 without diamond  - 36 MM STRATUS</t>
  </si>
  <si>
    <t>65*32.5*20.5</t>
  </si>
  <si>
    <t>Hook</t>
  </si>
  <si>
    <t>HOOK - 50 MM</t>
  </si>
  <si>
    <t>52*26*28</t>
  </si>
  <si>
    <t>Loop</t>
  </si>
  <si>
    <t>LOOP - 50 MM</t>
  </si>
  <si>
    <t>Charcoal T 2055</t>
  </si>
  <si>
    <t>Lay</t>
  </si>
  <si>
    <t>LMTS - 36 MM</t>
  </si>
  <si>
    <t>72*35*23.5</t>
  </si>
  <si>
    <t>PP + Poly Woven Elastic</t>
  </si>
  <si>
    <t>25 mm</t>
  </si>
  <si>
    <t>Rolls</t>
  </si>
  <si>
    <t>ELW - 25 MM</t>
  </si>
  <si>
    <t>56*28*27</t>
  </si>
  <si>
    <t>Polyester Tape -                 3 TIMES RUBBER</t>
  </si>
  <si>
    <t>26 mm</t>
  </si>
  <si>
    <t>Black - R18433</t>
  </si>
  <si>
    <t>HBTPF - 26 MM</t>
  </si>
  <si>
    <t>71*31*23</t>
  </si>
  <si>
    <t>Dk Silver - A17748</t>
  </si>
  <si>
    <t>Charcoal - T2055</t>
  </si>
  <si>
    <t>58*39*30</t>
  </si>
  <si>
    <t>High Strength Poly Shadeflex Webbing</t>
  </si>
  <si>
    <t>Dope - Dyed Black</t>
  </si>
  <si>
    <t>SFW - 25 MM</t>
  </si>
  <si>
    <t>38*38*15</t>
  </si>
  <si>
    <t>T41855 / FE0012</t>
  </si>
  <si>
    <t>MT4043 - 36 MM SLATE</t>
  </si>
  <si>
    <t>UV Polyprop Webbing</t>
  </si>
  <si>
    <t>WEBPP - 50 MM</t>
  </si>
  <si>
    <t>38 mm</t>
  </si>
  <si>
    <t>ELW - 38 MM</t>
  </si>
  <si>
    <t>56*28*22</t>
  </si>
  <si>
    <t>Polyester Jacquard Webbing</t>
  </si>
  <si>
    <t>260217 KEL</t>
  </si>
  <si>
    <t>Silver T861 and Orange Pantone # 1655 Jacquard on Black with Silver T861 lines on edges</t>
  </si>
  <si>
    <t>WEBKEL - 25 MM</t>
  </si>
  <si>
    <t>31*31*28</t>
  </si>
  <si>
    <t>31*31*18</t>
  </si>
  <si>
    <t>Polyester Jacquard Webbing - KELMATT</t>
  </si>
  <si>
    <t>32 mm</t>
  </si>
  <si>
    <t>WEBKEL - 32 MM</t>
  </si>
  <si>
    <t>31*31*35</t>
  </si>
  <si>
    <t>Fluoro Yellow A5985</t>
  </si>
  <si>
    <t>SFW - 50 MM</t>
  </si>
  <si>
    <t>38*38*22</t>
  </si>
  <si>
    <t>Polyester 37 Gauge Knitted Elastic</t>
  </si>
  <si>
    <t>Charcoal - T1371</t>
  </si>
  <si>
    <t>ELKSR - 25 MM</t>
  </si>
  <si>
    <t>52*26*27</t>
  </si>
  <si>
    <t>52*26*22</t>
  </si>
  <si>
    <t>Shiny White / Dk Silver A17748</t>
  </si>
  <si>
    <t>MTCS - 36 MM</t>
  </si>
  <si>
    <t>Charcoal T2055 / Shiny White</t>
  </si>
  <si>
    <t>MTYC707 - 36 MM SLEEPFIT</t>
  </si>
  <si>
    <t>ELKSFS - 25 MM</t>
  </si>
  <si>
    <t>41*35*23</t>
  </si>
  <si>
    <t>Charcoal T2055 on Dk Silver A17748</t>
  </si>
  <si>
    <t>MT4003 - 36 MM</t>
  </si>
  <si>
    <t>74*37*20.5</t>
  </si>
  <si>
    <t>Charcoal T2055</t>
  </si>
  <si>
    <t>MT4024 - 36 MM</t>
  </si>
  <si>
    <t>72*36*20.5</t>
  </si>
  <si>
    <t>High Strength Polyester Webbing with Black stripe</t>
  </si>
  <si>
    <t>260303F</t>
  </si>
  <si>
    <t>100 mm</t>
  </si>
  <si>
    <t>Natural with Black stripe</t>
  </si>
  <si>
    <t>WEBCE - 100 MM</t>
  </si>
  <si>
    <t>260304 CS</t>
  </si>
  <si>
    <t>Poly Border Tape</t>
  </si>
  <si>
    <t>MTS - 100 MM</t>
  </si>
  <si>
    <t>57*28.5*32</t>
  </si>
  <si>
    <t>G0001 High Strength Polyester Webbing</t>
  </si>
  <si>
    <t>WEBRG - 50 MM</t>
  </si>
  <si>
    <t>260318 WW</t>
  </si>
  <si>
    <t>24 mm</t>
  </si>
  <si>
    <t>Aqua - R8523</t>
  </si>
  <si>
    <t>HBTP - 24 MM</t>
  </si>
  <si>
    <t>260323 FS</t>
  </si>
  <si>
    <t>Light Grey R23718</t>
  </si>
  <si>
    <t>MT4074 - 36 mm CLASSIC</t>
  </si>
  <si>
    <t>260324 M</t>
  </si>
  <si>
    <t>Mushroom - X391</t>
  </si>
  <si>
    <t>260325MR</t>
  </si>
  <si>
    <t>Charcoal - R21846</t>
  </si>
  <si>
    <t>MT4072 - 36 mm</t>
  </si>
  <si>
    <t>38*38*39</t>
  </si>
  <si>
    <t>38*38*28</t>
  </si>
  <si>
    <t>Polyester Heavy Braided Elastic</t>
  </si>
  <si>
    <t>12 mm</t>
  </si>
  <si>
    <t>ELBH - 12 MM</t>
  </si>
  <si>
    <t>41*35*18</t>
  </si>
  <si>
    <t>Dusty Pink - 7994</t>
  </si>
  <si>
    <t>Spun Pol,yester Webbing</t>
  </si>
  <si>
    <t>20 mm</t>
  </si>
  <si>
    <t>WEBSP 20B</t>
  </si>
  <si>
    <t>37*37*22</t>
  </si>
  <si>
    <t>100 % Cotton Cord</t>
  </si>
  <si>
    <t>5 mm</t>
  </si>
  <si>
    <t>Dk Navy A6356 / T615</t>
  </si>
  <si>
    <t>C323 - 5 MM</t>
  </si>
  <si>
    <t>62*26*18</t>
  </si>
  <si>
    <t>Grey T3937</t>
  </si>
  <si>
    <t>260328 SL</t>
  </si>
  <si>
    <t>Solid Navy T1876</t>
  </si>
  <si>
    <t>LMT - 36 MM</t>
  </si>
  <si>
    <t>72*35*22</t>
  </si>
  <si>
    <t>Polyester 37 Gauge Corded Elastic</t>
  </si>
  <si>
    <t>ELKC - 38 MM</t>
  </si>
  <si>
    <t>69*35*25</t>
  </si>
  <si>
    <t>Polyester 2344 # 30 Knitted Elastic</t>
  </si>
  <si>
    <t>ELKHR30 - 15 MM</t>
  </si>
  <si>
    <t>Charcoal - 807</t>
  </si>
  <si>
    <t>MT - 22 MM</t>
  </si>
  <si>
    <t>64*32*25</t>
  </si>
  <si>
    <t>31*31*21</t>
  </si>
  <si>
    <t>Charcoal T 2055 / White</t>
  </si>
  <si>
    <t>MT4078 - 36 MM</t>
  </si>
  <si>
    <t>Beige - R 240</t>
  </si>
  <si>
    <t>52*26*31</t>
  </si>
  <si>
    <t>ELKSR - 32 MM</t>
  </si>
  <si>
    <t>52*26*34</t>
  </si>
  <si>
    <t>ELW - 32 MM</t>
  </si>
  <si>
    <t>56*28*34</t>
  </si>
  <si>
    <t>16 mm</t>
  </si>
  <si>
    <t>HBTP - 16 MM SHF</t>
  </si>
  <si>
    <t>Navy T1481 /           Charcoal T2055</t>
  </si>
  <si>
    <t>MTF - 36 MM</t>
  </si>
  <si>
    <t>WEBPP - 38 MM</t>
  </si>
  <si>
    <t>260409SM</t>
  </si>
  <si>
    <t>SH-Silver LX</t>
  </si>
  <si>
    <t>69*35*19</t>
  </si>
  <si>
    <t>High Strength Polyester Webbing</t>
  </si>
  <si>
    <t>WEBEE - 25 MM</t>
  </si>
  <si>
    <t>48*24*28</t>
  </si>
  <si>
    <t>48*24*40</t>
  </si>
  <si>
    <t>LMT4024 - 36 MM</t>
  </si>
  <si>
    <t>72*35*26</t>
  </si>
  <si>
    <t>83 mm</t>
  </si>
  <si>
    <t>Black / FE0016 (Shiny Charcoal)</t>
  </si>
  <si>
    <t>MT4050 - 83 MM</t>
  </si>
  <si>
    <t>30*30*44</t>
  </si>
  <si>
    <t># 3 Auto Lock Sliders</t>
  </si>
  <si>
    <t># 3</t>
  </si>
  <si>
    <t>Piece</t>
  </si>
  <si>
    <t>SLIDERS # 3</t>
  </si>
  <si>
    <t>36*19*18</t>
  </si>
  <si>
    <t>58*31*30</t>
  </si>
  <si>
    <t>PP Webbing with UV</t>
  </si>
  <si>
    <t>WEBAS - 50 MM</t>
  </si>
  <si>
    <t>60*30*28</t>
  </si>
  <si>
    <t>30*30*28</t>
  </si>
  <si>
    <t>Polyester Webbing</t>
  </si>
  <si>
    <t>Black with Red Stripe</t>
  </si>
  <si>
    <t>WEBABC - 100 MM</t>
  </si>
  <si>
    <t>48*24*33</t>
  </si>
  <si>
    <t>48*24*22</t>
  </si>
  <si>
    <t>T341 / FE0012 (Shiny Grey)</t>
  </si>
  <si>
    <t>MT4050 - 83 MM SHINY GREY</t>
  </si>
  <si>
    <t>Beige - 201</t>
  </si>
  <si>
    <t>HOOK - 100 MM</t>
  </si>
  <si>
    <t>52*26*32</t>
  </si>
  <si>
    <t>LOOP - 100 MM</t>
  </si>
  <si>
    <t>ADHESIVE LOOP - 50 MM</t>
  </si>
  <si>
    <t>56*28*28</t>
  </si>
  <si>
    <t>SFW - 38 MM</t>
  </si>
  <si>
    <t>38*38*21</t>
  </si>
  <si>
    <t>ELW - 50 MM</t>
  </si>
  <si>
    <t>13 mm</t>
  </si>
  <si>
    <t>Natural</t>
  </si>
  <si>
    <t>WEBS - 13 MM</t>
  </si>
  <si>
    <t>38*38*30</t>
  </si>
  <si>
    <t>Complete Dog Lead</t>
  </si>
  <si>
    <t>Dark Blue T1876 Ground</t>
  </si>
  <si>
    <t>PER*</t>
  </si>
  <si>
    <t>32*32*26</t>
  </si>
  <si>
    <t>White Lettering</t>
  </si>
  <si>
    <t>17 pallets</t>
  </si>
  <si>
    <t>Goods from NANTONG</t>
  </si>
  <si>
    <t>1 pallet</t>
  </si>
  <si>
    <t>Total:</t>
  </si>
  <si>
    <t>61.97CBM</t>
  </si>
  <si>
    <t xml:space="preserve">COMMERCIAL INVOICE </t>
  </si>
  <si>
    <r>
      <t xml:space="preserve">            GUANGDONG</t>
    </r>
    <r>
      <rPr>
        <sz val="10"/>
        <rFont val="宋体"/>
        <charset val="134"/>
      </rPr>
      <t>，</t>
    </r>
    <r>
      <rPr>
        <sz val="10"/>
        <rFont val="Times New Roman"/>
        <family val="1"/>
      </rPr>
      <t xml:space="preserve">CHINA, </t>
    </r>
  </si>
  <si>
    <t xml:space="preserve">        Windsor Trading Australia P/L.</t>
  </si>
  <si>
    <t>Shenzhen,China</t>
  </si>
  <si>
    <t>FOB Price</t>
  </si>
  <si>
    <t xml:space="preserve">US $ </t>
  </si>
  <si>
    <t>per mt</t>
  </si>
  <si>
    <t>Total：</t>
  </si>
  <si>
    <t>260413</t>
  </si>
  <si>
    <t>WEBS 13N</t>
  </si>
  <si>
    <t>WEBRG 50B</t>
  </si>
  <si>
    <t>MTYC70736 G</t>
  </si>
  <si>
    <t>MTF36 NC</t>
  </si>
  <si>
    <t>ELW 32B</t>
  </si>
  <si>
    <t>HBTP24 CHEST</t>
  </si>
  <si>
    <t>SFW25B</t>
  </si>
  <si>
    <t>HBTP22 BLACK</t>
  </si>
  <si>
    <t>SFW38B</t>
  </si>
  <si>
    <t>V100BH</t>
  </si>
  <si>
    <t>ELKHR30 15W</t>
  </si>
  <si>
    <t>ELKC 38W</t>
  </si>
  <si>
    <t>MTYC70736 B</t>
  </si>
  <si>
    <t>MTCS36 SWDKS</t>
  </si>
  <si>
    <t>MTS36 CHAR</t>
  </si>
  <si>
    <t>V50WL</t>
  </si>
  <si>
    <t>V50WH</t>
  </si>
  <si>
    <t>V100BL</t>
  </si>
  <si>
    <t>SFW50FY</t>
  </si>
  <si>
    <t>MTS36 BLACK</t>
  </si>
  <si>
    <t>MT400136 LG</t>
  </si>
  <si>
    <t>HBTP15 BLACK</t>
  </si>
  <si>
    <t>MT36 WHITE</t>
  </si>
  <si>
    <t>MTS36 DK SIL</t>
  </si>
  <si>
    <t>MT36 BLACK</t>
  </si>
  <si>
    <t>C323 T615</t>
  </si>
  <si>
    <t>\CDL</t>
  </si>
  <si>
    <t>ELW 25B</t>
  </si>
  <si>
    <t>MTS100 BLACK</t>
  </si>
  <si>
    <t>VA50BL</t>
  </si>
  <si>
    <t>MT402436 CH</t>
  </si>
  <si>
    <t>WEBCE100</t>
  </si>
  <si>
    <t>WEBAS 50B</t>
  </si>
  <si>
    <t>MT36 507 ROYAL</t>
  </si>
  <si>
    <t>LMTS36 CHAR</t>
  </si>
  <si>
    <t>MT36 201 BEIGE</t>
  </si>
  <si>
    <t>HBTP22 CHEST</t>
  </si>
  <si>
    <t>MTS36 NAVY</t>
  </si>
  <si>
    <t>MTS36 BT</t>
  </si>
  <si>
    <t>ELKSR 25BE</t>
  </si>
  <si>
    <t>ELKSR 25CH</t>
  </si>
  <si>
    <t>ELKSFS 25W</t>
  </si>
  <si>
    <t>MTYC70736 CW</t>
  </si>
  <si>
    <t>MTL36 MM1</t>
  </si>
  <si>
    <t>MTCH50 W</t>
  </si>
  <si>
    <t>MTSB36 CHAR</t>
  </si>
  <si>
    <t>HBTP22 DUSTY</t>
  </si>
  <si>
    <t>MT402536 WD TB</t>
  </si>
  <si>
    <t>HBTPFR26 BLACK</t>
  </si>
  <si>
    <t>WEBPP50B</t>
  </si>
  <si>
    <t>MT22 807 CHARCOAL</t>
  </si>
  <si>
    <t>ELBH 12W</t>
  </si>
  <si>
    <t>ELW 38W</t>
  </si>
  <si>
    <t>ELKSR 32W</t>
  </si>
  <si>
    <t>ZCC3BS</t>
  </si>
  <si>
    <t>WEBPP38B</t>
  </si>
  <si>
    <t>ELW 50B</t>
  </si>
  <si>
    <t>MT404336 STEEL</t>
  </si>
  <si>
    <t>MTSB36 BLACK</t>
  </si>
  <si>
    <t>MT400336 CHAONDKS</t>
  </si>
  <si>
    <t>MT404336 SLATE</t>
  </si>
  <si>
    <t>MT407236 CH</t>
  </si>
  <si>
    <t>WEBABC 100BRS</t>
  </si>
  <si>
    <t>MT405083 SC</t>
  </si>
  <si>
    <t>HBTP22 MUSHROOM</t>
  </si>
  <si>
    <t>WEBEE 25B</t>
  </si>
  <si>
    <t>LMT36 NAVY</t>
  </si>
  <si>
    <t>MT404336 RS</t>
  </si>
  <si>
    <t>MT405083 SG</t>
  </si>
  <si>
    <t>LMT402436 CH</t>
  </si>
  <si>
    <t>MT407436 CLASSIC</t>
  </si>
  <si>
    <t>MT407836 CW</t>
  </si>
  <si>
    <t>HBTP16 BLACK SHF</t>
  </si>
  <si>
    <t>WEBKEL2 32B</t>
  </si>
  <si>
    <t>WEBKEL2 25B</t>
  </si>
  <si>
    <t>250812</t>
  </si>
  <si>
    <t>250829</t>
  </si>
  <si>
    <t>250905</t>
  </si>
  <si>
    <t>250923</t>
  </si>
  <si>
    <t>251003</t>
  </si>
  <si>
    <t>251011</t>
  </si>
  <si>
    <t>251022</t>
  </si>
  <si>
    <t>HBTP24 AQUA</t>
  </si>
  <si>
    <t>LMT36 SH-SILVER LX</t>
  </si>
  <si>
    <t>250702</t>
  </si>
  <si>
    <t>250809</t>
  </si>
  <si>
    <t>251114</t>
  </si>
  <si>
    <t>251117</t>
  </si>
  <si>
    <t>251207</t>
  </si>
  <si>
    <t>251211</t>
  </si>
  <si>
    <t>251215</t>
  </si>
  <si>
    <t>260113</t>
  </si>
  <si>
    <t>260124</t>
  </si>
  <si>
    <t>260129</t>
  </si>
  <si>
    <t>260204</t>
  </si>
  <si>
    <t>260213</t>
  </si>
  <si>
    <t>260225</t>
  </si>
  <si>
    <t>260224</t>
  </si>
  <si>
    <t>260226</t>
  </si>
  <si>
    <t>260311</t>
  </si>
  <si>
    <t>260331</t>
  </si>
  <si>
    <t>260327</t>
  </si>
  <si>
    <t>10530</t>
  </si>
  <si>
    <t>260407</t>
  </si>
  <si>
    <t>260410</t>
  </si>
  <si>
    <t>Your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</si>
</sst>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&quot;￥&quot;* #,##0.00_ ;_ &quot;￥&quot;* \-#,##0.00_ ;_ &quot;￥&quot;* &quot;-&quot;??_ ;_ @_ "/>
    <numFmt numFmtId="165" formatCode="_(&quot;$&quot;* #,##0.00_);_(&quot;$&quot;* \(#,##0.00\);_(&quot;$&quot;* &quot;-&quot;??_);_(@_)"/>
    <numFmt numFmtId="166" formatCode="#,##0_ "/>
    <numFmt numFmtId="167" formatCode="#,##0.0_ "/>
    <numFmt numFmtId="168" formatCode="0_ "/>
    <numFmt numFmtId="169" formatCode="0.0_ "/>
    <numFmt numFmtId="170" formatCode="\$#,##0.00000;\-\$#,##0.00000"/>
    <numFmt numFmtId="171" formatCode="#,##0.00_ "/>
    <numFmt numFmtId="172" formatCode="&quot;US$&quot;#,##0.0000"/>
    <numFmt numFmtId="173" formatCode="&quot;US$&quot;#,##0.00;\-&quot;US$&quot;#,##0.00"/>
  </numFmts>
  <fonts count="19">
    <font>
      <sz val="12"/>
      <name val="宋体"/>
      <charset val="134"/>
    </font>
    <font>
      <sz val="10"/>
      <name val="Arial"/>
      <family val="2"/>
    </font>
    <font>
      <b/>
      <sz val="20"/>
      <name val="宋体"/>
      <charset val="134"/>
    </font>
    <font>
      <b/>
      <sz val="10"/>
      <name val="宋体"/>
      <charset val="134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22"/>
      <name val="Times New Roman"/>
      <family val="1"/>
    </font>
    <font>
      <sz val="10"/>
      <color indexed="8"/>
      <name val="Arial"/>
      <family val="2"/>
    </font>
    <font>
      <b/>
      <u/>
      <sz val="10"/>
      <name val="Arial"/>
      <family val="2"/>
    </font>
    <font>
      <b/>
      <u val="singleAccounting"/>
      <sz val="10"/>
      <name val="Arial"/>
      <family val="2"/>
    </font>
    <font>
      <sz val="12"/>
      <name val="Arial"/>
      <family val="2"/>
    </font>
    <font>
      <b/>
      <sz val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0"/>
      <name val="Calibri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5" fontId="17" fillId="0" borderId="0" applyFont="0" applyFill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4" applyFont="1" applyAlignment="1">
      <alignment horizontal="center"/>
    </xf>
    <xf numFmtId="0" fontId="8" fillId="0" borderId="0" xfId="4" applyFont="1" applyAlignment="1">
      <alignment horizontal="center"/>
    </xf>
    <xf numFmtId="0" fontId="9" fillId="0" borderId="0" xfId="3" applyFont="1" applyAlignment="1">
      <alignment horizontal="center"/>
    </xf>
    <xf numFmtId="0" fontId="5" fillId="0" borderId="1" xfId="3" applyFont="1" applyBorder="1" applyAlignment="1">
      <alignment horizontal="center"/>
    </xf>
    <xf numFmtId="0" fontId="8" fillId="0" borderId="1" xfId="3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1" xfId="3" applyFont="1" applyBorder="1"/>
    <xf numFmtId="0" fontId="5" fillId="0" borderId="1" xfId="4" applyFont="1" applyBorder="1" applyAlignment="1">
      <alignment horizontal="center"/>
    </xf>
    <xf numFmtId="0" fontId="8" fillId="0" borderId="4" xfId="2" applyFont="1" applyBorder="1" applyAlignment="1">
      <alignment horizontal="center"/>
    </xf>
    <xf numFmtId="0" fontId="8" fillId="0" borderId="0" xfId="2" applyFont="1" applyAlignment="1">
      <alignment horizontal="center"/>
    </xf>
    <xf numFmtId="166" fontId="11" fillId="0" borderId="1" xfId="4" applyNumberFormat="1" applyFont="1" applyBorder="1" applyAlignment="1">
      <alignment horizontal="center"/>
    </xf>
    <xf numFmtId="0" fontId="1" fillId="0" borderId="1" xfId="3" applyBorder="1" applyAlignment="1">
      <alignment horizontal="center"/>
    </xf>
    <xf numFmtId="0" fontId="9" fillId="0" borderId="1" xfId="3" applyFont="1" applyBorder="1" applyAlignment="1">
      <alignment horizontal="center"/>
    </xf>
    <xf numFmtId="3" fontId="1" fillId="0" borderId="1" xfId="3" applyNumberFormat="1" applyBorder="1" applyAlignment="1">
      <alignment horizontal="center"/>
    </xf>
    <xf numFmtId="0" fontId="12" fillId="0" borderId="1" xfId="3" applyFont="1" applyBorder="1" applyAlignment="1">
      <alignment horizontal="center"/>
    </xf>
    <xf numFmtId="0" fontId="12" fillId="0" borderId="5" xfId="3" applyFont="1" applyBorder="1" applyAlignment="1">
      <alignment horizontal="center"/>
    </xf>
    <xf numFmtId="1" fontId="13" fillId="0" borderId="1" xfId="6" applyNumberFormat="1" applyFont="1" applyFill="1" applyBorder="1" applyAlignment="1">
      <alignment horizontal="center"/>
    </xf>
    <xf numFmtId="1" fontId="13" fillId="0" borderId="6" xfId="6" applyNumberFormat="1" applyFont="1" applyFill="1" applyBorder="1" applyAlignment="1">
      <alignment horizontal="center"/>
    </xf>
    <xf numFmtId="0" fontId="12" fillId="0" borderId="7" xfId="3" applyFont="1" applyBorder="1" applyAlignment="1">
      <alignment horizontal="center"/>
    </xf>
    <xf numFmtId="0" fontId="12" fillId="0" borderId="8" xfId="3" applyFont="1" applyBorder="1" applyAlignment="1">
      <alignment horizontal="center"/>
    </xf>
    <xf numFmtId="165" fontId="9" fillId="0" borderId="8" xfId="6" applyFont="1" applyFill="1" applyBorder="1" applyAlignment="1">
      <alignment horizontal="center"/>
    </xf>
    <xf numFmtId="1" fontId="13" fillId="0" borderId="5" xfId="6" applyNumberFormat="1" applyFont="1" applyFill="1" applyBorder="1" applyAlignment="1">
      <alignment horizontal="center"/>
    </xf>
    <xf numFmtId="165" fontId="9" fillId="0" borderId="5" xfId="6" applyFont="1" applyFill="1" applyBorder="1" applyAlignment="1">
      <alignment horizontal="center"/>
    </xf>
    <xf numFmtId="0" fontId="9" fillId="0" borderId="7" xfId="3" applyFont="1" applyBorder="1" applyAlignment="1">
      <alignment horizontal="center"/>
    </xf>
    <xf numFmtId="0" fontId="9" fillId="0" borderId="5" xfId="3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8" fontId="14" fillId="0" borderId="10" xfId="0" applyNumberFormat="1" applyFont="1" applyBorder="1" applyAlignment="1">
      <alignment horizontal="center" vertical="center"/>
    </xf>
    <xf numFmtId="169" fontId="14" fillId="0" borderId="10" xfId="0" applyNumberFormat="1" applyFont="1" applyBorder="1" applyAlignment="1">
      <alignment horizontal="center" vertical="center"/>
    </xf>
    <xf numFmtId="170" fontId="7" fillId="0" borderId="0" xfId="4" applyNumberFormat="1" applyFont="1" applyAlignment="1">
      <alignment horizontal="center"/>
    </xf>
    <xf numFmtId="166" fontId="7" fillId="0" borderId="0" xfId="4" applyNumberFormat="1" applyFont="1" applyAlignment="1">
      <alignment horizontal="center"/>
    </xf>
    <xf numFmtId="0" fontId="5" fillId="0" borderId="11" xfId="2" applyFont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8" fillId="0" borderId="12" xfId="2" applyFont="1" applyBorder="1" applyAlignment="1">
      <alignment horizontal="center"/>
    </xf>
    <xf numFmtId="0" fontId="8" fillId="0" borderId="12" xfId="4" applyFont="1" applyBorder="1" applyAlignment="1">
      <alignment horizontal="center"/>
    </xf>
    <xf numFmtId="170" fontId="8" fillId="0" borderId="4" xfId="4" applyNumberFormat="1" applyFont="1" applyBorder="1" applyAlignment="1">
      <alignment horizontal="center"/>
    </xf>
    <xf numFmtId="0" fontId="8" fillId="0" borderId="4" xfId="2" applyFont="1" applyBorder="1"/>
    <xf numFmtId="0" fontId="8" fillId="0" borderId="0" xfId="2" applyFont="1"/>
    <xf numFmtId="170" fontId="8" fillId="0" borderId="14" xfId="4" applyNumberFormat="1" applyFont="1" applyBorder="1" applyAlignment="1">
      <alignment horizontal="center"/>
    </xf>
    <xf numFmtId="166" fontId="5" fillId="0" borderId="15" xfId="4" applyNumberFormat="1" applyFont="1" applyBorder="1" applyAlignment="1">
      <alignment horizontal="center"/>
    </xf>
    <xf numFmtId="0" fontId="8" fillId="0" borderId="16" xfId="4" applyFont="1" applyBorder="1" applyAlignment="1">
      <alignment horizontal="center"/>
    </xf>
    <xf numFmtId="0" fontId="8" fillId="0" borderId="3" xfId="4" applyFont="1" applyBorder="1" applyAlignment="1">
      <alignment horizontal="center"/>
    </xf>
    <xf numFmtId="0" fontId="8" fillId="0" borderId="17" xfId="4" applyFont="1" applyBorder="1" applyAlignment="1">
      <alignment horizontal="center"/>
    </xf>
    <xf numFmtId="0" fontId="8" fillId="0" borderId="18" xfId="4" applyFont="1" applyBorder="1" applyAlignment="1">
      <alignment horizontal="center"/>
    </xf>
    <xf numFmtId="0" fontId="8" fillId="0" borderId="19" xfId="4" applyFont="1" applyBorder="1" applyAlignment="1">
      <alignment horizontal="center"/>
    </xf>
    <xf numFmtId="0" fontId="5" fillId="0" borderId="20" xfId="2" applyFont="1" applyBorder="1" applyAlignment="1">
      <alignment horizontal="center"/>
    </xf>
    <xf numFmtId="0" fontId="5" fillId="0" borderId="21" xfId="2" applyFont="1" applyBorder="1" applyAlignment="1">
      <alignment horizontal="center"/>
    </xf>
    <xf numFmtId="0" fontId="8" fillId="0" borderId="21" xfId="2" applyFont="1" applyBorder="1"/>
    <xf numFmtId="0" fontId="8" fillId="0" borderId="21" xfId="2" applyFont="1" applyBorder="1" applyAlignment="1">
      <alignment horizontal="center"/>
    </xf>
    <xf numFmtId="170" fontId="8" fillId="0" borderId="17" xfId="4" applyNumberFormat="1" applyFont="1" applyBorder="1" applyAlignment="1">
      <alignment horizontal="center"/>
    </xf>
    <xf numFmtId="166" fontId="5" fillId="0" borderId="18" xfId="4" applyNumberFormat="1" applyFont="1" applyBorder="1" applyAlignment="1">
      <alignment horizontal="center"/>
    </xf>
    <xf numFmtId="0" fontId="5" fillId="0" borderId="14" xfId="4" applyFont="1" applyBorder="1" applyAlignment="1">
      <alignment horizontal="center"/>
    </xf>
    <xf numFmtId="0" fontId="5" fillId="0" borderId="15" xfId="4" applyFont="1" applyBorder="1" applyAlignment="1">
      <alignment horizontal="center"/>
    </xf>
    <xf numFmtId="0" fontId="5" fillId="0" borderId="16" xfId="4" applyFont="1" applyBorder="1" applyAlignment="1">
      <alignment horizontal="center"/>
    </xf>
    <xf numFmtId="170" fontId="5" fillId="0" borderId="14" xfId="4" applyNumberFormat="1" applyFont="1" applyBorder="1" applyAlignment="1">
      <alignment horizontal="center"/>
    </xf>
    <xf numFmtId="0" fontId="8" fillId="0" borderId="11" xfId="4" applyFont="1" applyBorder="1" applyAlignment="1">
      <alignment horizontal="center"/>
    </xf>
    <xf numFmtId="0" fontId="8" fillId="0" borderId="28" xfId="4" applyFont="1" applyBorder="1" applyAlignment="1">
      <alignment vertical="center"/>
    </xf>
    <xf numFmtId="0" fontId="8" fillId="0" borderId="5" xfId="4" applyFont="1" applyBorder="1" applyAlignment="1">
      <alignment horizontal="left"/>
    </xf>
    <xf numFmtId="0" fontId="8" fillId="0" borderId="29" xfId="4" applyFont="1" applyBorder="1" applyAlignment="1">
      <alignment horizontal="center"/>
    </xf>
    <xf numFmtId="166" fontId="1" fillId="0" borderId="1" xfId="4" applyNumberFormat="1" applyBorder="1" applyAlignment="1">
      <alignment horizontal="center"/>
    </xf>
    <xf numFmtId="171" fontId="8" fillId="0" borderId="2" xfId="4" applyNumberFormat="1" applyFont="1" applyBorder="1" applyAlignment="1">
      <alignment vertical="center" wrapText="1"/>
    </xf>
    <xf numFmtId="0" fontId="8" fillId="0" borderId="28" xfId="4" applyFont="1" applyBorder="1" applyAlignment="1">
      <alignment vertical="center" wrapText="1"/>
    </xf>
    <xf numFmtId="0" fontId="1" fillId="0" borderId="0" xfId="2" applyAlignment="1">
      <alignment horizontal="center"/>
    </xf>
    <xf numFmtId="0" fontId="9" fillId="0" borderId="0" xfId="2" applyFont="1" applyAlignment="1">
      <alignment horizontal="center"/>
    </xf>
    <xf numFmtId="3" fontId="1" fillId="0" borderId="0" xfId="2" applyNumberFormat="1"/>
    <xf numFmtId="170" fontId="1" fillId="0" borderId="0" xfId="2" applyNumberFormat="1"/>
    <xf numFmtId="0" fontId="12" fillId="0" borderId="11" xfId="2" applyFont="1" applyBorder="1" applyAlignment="1">
      <alignment horizontal="center"/>
    </xf>
    <xf numFmtId="0" fontId="12" fillId="0" borderId="23" xfId="2" applyFont="1" applyBorder="1" applyAlignment="1">
      <alignment horizontal="center"/>
    </xf>
    <xf numFmtId="0" fontId="12" fillId="0" borderId="32" xfId="2" applyFont="1" applyBorder="1" applyAlignment="1">
      <alignment horizontal="center"/>
    </xf>
    <xf numFmtId="0" fontId="12" fillId="0" borderId="12" xfId="2" applyFont="1" applyBorder="1" applyAlignment="1">
      <alignment horizontal="center"/>
    </xf>
    <xf numFmtId="170" fontId="13" fillId="0" borderId="13" xfId="6" applyNumberFormat="1" applyFont="1" applyFill="1" applyBorder="1" applyAlignment="1">
      <alignment horizontal="center"/>
    </xf>
    <xf numFmtId="0" fontId="8" fillId="0" borderId="32" xfId="4" applyFont="1" applyBorder="1" applyAlignment="1">
      <alignment horizontal="center"/>
    </xf>
    <xf numFmtId="0" fontId="12" fillId="0" borderId="4" xfId="2" applyFont="1" applyBorder="1" applyAlignment="1">
      <alignment horizontal="center"/>
    </xf>
    <xf numFmtId="0" fontId="12" fillId="0" borderId="33" xfId="2" applyFont="1" applyBorder="1" applyAlignment="1">
      <alignment horizontal="center"/>
    </xf>
    <xf numFmtId="0" fontId="12" fillId="0" borderId="34" xfId="2" applyFont="1" applyBorder="1" applyAlignment="1">
      <alignment horizontal="center"/>
    </xf>
    <xf numFmtId="0" fontId="12" fillId="0" borderId="0" xfId="2" applyFont="1" applyAlignment="1">
      <alignment horizontal="center"/>
    </xf>
    <xf numFmtId="170" fontId="12" fillId="0" borderId="0" xfId="2" applyNumberFormat="1" applyFont="1" applyAlignment="1">
      <alignment horizontal="center"/>
    </xf>
    <xf numFmtId="0" fontId="8" fillId="0" borderId="4" xfId="4" applyFont="1" applyBorder="1" applyAlignment="1">
      <alignment horizontal="center"/>
    </xf>
    <xf numFmtId="0" fontId="8" fillId="0" borderId="34" xfId="4" applyFont="1" applyBorder="1" applyAlignment="1">
      <alignment horizont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170" fontId="1" fillId="0" borderId="5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173" fontId="1" fillId="0" borderId="1" xfId="0" applyNumberFormat="1" applyFont="1" applyBorder="1" applyAlignment="1">
      <alignment horizontal="right" vertical="center"/>
    </xf>
    <xf numFmtId="3" fontId="1" fillId="0" borderId="10" xfId="1" applyNumberFormat="1" applyFont="1" applyFill="1" applyBorder="1" applyAlignment="1">
      <alignment horizontal="center" wrapText="1"/>
    </xf>
    <xf numFmtId="166" fontId="1" fillId="0" borderId="10" xfId="0" applyNumberFormat="1" applyFont="1" applyBorder="1" applyAlignment="1">
      <alignment horizontal="center" vertical="center"/>
    </xf>
    <xf numFmtId="173" fontId="1" fillId="0" borderId="10" xfId="0" applyNumberFormat="1" applyFont="1" applyBorder="1" applyAlignment="1">
      <alignment horizontal="right" vertical="center"/>
    </xf>
    <xf numFmtId="170" fontId="0" fillId="0" borderId="0" xfId="0" applyNumberForma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2" fillId="0" borderId="0" xfId="4" applyFont="1" applyAlignment="1">
      <alignment horizontal="center"/>
    </xf>
    <xf numFmtId="0" fontId="3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10" fillId="0" borderId="0" xfId="4" applyFont="1" applyAlignment="1">
      <alignment horizontal="center"/>
    </xf>
    <xf numFmtId="0" fontId="8" fillId="0" borderId="1" xfId="4" applyFont="1" applyBorder="1" applyAlignment="1">
      <alignment horizontal="center"/>
    </xf>
    <xf numFmtId="0" fontId="8" fillId="0" borderId="1" xfId="3" applyFont="1" applyBorder="1" applyAlignment="1">
      <alignment horizontal="center"/>
    </xf>
    <xf numFmtId="14" fontId="8" fillId="0" borderId="0" xfId="4" applyNumberFormat="1" applyFont="1" applyAlignment="1">
      <alignment horizontal="center"/>
    </xf>
    <xf numFmtId="14" fontId="8" fillId="0" borderId="3" xfId="4" applyNumberFormat="1" applyFont="1" applyBorder="1" applyAlignment="1">
      <alignment horizontal="center"/>
    </xf>
    <xf numFmtId="0" fontId="8" fillId="0" borderId="1" xfId="4" applyFont="1" applyBorder="1" applyAlignment="1">
      <alignment horizontal="left"/>
    </xf>
    <xf numFmtId="0" fontId="5" fillId="0" borderId="2" xfId="4" applyFont="1" applyBorder="1" applyAlignment="1">
      <alignment horizontal="center"/>
    </xf>
    <xf numFmtId="167" fontId="1" fillId="0" borderId="1" xfId="4" applyNumberFormat="1" applyBorder="1" applyAlignment="1">
      <alignment horizontal="center"/>
    </xf>
    <xf numFmtId="0" fontId="8" fillId="0" borderId="1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170" fontId="2" fillId="0" borderId="0" xfId="4" applyNumberFormat="1" applyFont="1" applyAlignment="1">
      <alignment horizontal="center"/>
    </xf>
    <xf numFmtId="166" fontId="2" fillId="0" borderId="0" xfId="4" applyNumberFormat="1" applyFont="1" applyAlignment="1">
      <alignment horizontal="center"/>
    </xf>
    <xf numFmtId="170" fontId="4" fillId="0" borderId="0" xfId="4" applyNumberFormat="1" applyFont="1" applyAlignment="1">
      <alignment horizontal="center"/>
    </xf>
    <xf numFmtId="166" fontId="4" fillId="0" borderId="0" xfId="4" applyNumberFormat="1" applyFont="1" applyAlignment="1">
      <alignment horizontal="center"/>
    </xf>
    <xf numFmtId="170" fontId="6" fillId="0" borderId="0" xfId="4" applyNumberFormat="1" applyFont="1" applyAlignment="1">
      <alignment horizontal="center"/>
    </xf>
    <xf numFmtId="166" fontId="6" fillId="0" borderId="0" xfId="4" applyNumberFormat="1" applyFont="1" applyAlignment="1">
      <alignment horizontal="center"/>
    </xf>
    <xf numFmtId="170" fontId="10" fillId="0" borderId="0" xfId="4" applyNumberFormat="1" applyFont="1" applyAlignment="1">
      <alignment horizontal="center"/>
    </xf>
    <xf numFmtId="166" fontId="10" fillId="0" borderId="0" xfId="4" applyNumberFormat="1" applyFont="1" applyAlignment="1">
      <alignment horizontal="center"/>
    </xf>
    <xf numFmtId="170" fontId="8" fillId="0" borderId="11" xfId="4" applyNumberFormat="1" applyFont="1" applyBorder="1" applyAlignment="1">
      <alignment horizontal="left"/>
    </xf>
    <xf numFmtId="166" fontId="5" fillId="0" borderId="12" xfId="4" applyNumberFormat="1" applyFont="1" applyBorder="1" applyAlignment="1">
      <alignment horizontal="center"/>
    </xf>
    <xf numFmtId="0" fontId="8" fillId="0" borderId="13" xfId="4" applyFont="1" applyBorder="1" applyAlignment="1">
      <alignment horizontal="left"/>
    </xf>
    <xf numFmtId="170" fontId="8" fillId="0" borderId="4" xfId="4" applyNumberFormat="1" applyFont="1" applyBorder="1" applyAlignment="1">
      <alignment horizontal="left"/>
    </xf>
    <xf numFmtId="166" fontId="5" fillId="0" borderId="0" xfId="4" applyNumberFormat="1" applyFont="1" applyAlignment="1">
      <alignment horizontal="center"/>
    </xf>
    <xf numFmtId="0" fontId="8" fillId="0" borderId="3" xfId="4" applyFont="1" applyBorder="1" applyAlignment="1">
      <alignment horizontal="left"/>
    </xf>
    <xf numFmtId="170" fontId="8" fillId="0" borderId="4" xfId="4" applyNumberFormat="1" applyFont="1" applyBorder="1" applyAlignment="1">
      <alignment horizontal="center"/>
    </xf>
    <xf numFmtId="166" fontId="5" fillId="0" borderId="4" xfId="4" applyNumberFormat="1" applyFont="1" applyBorder="1" applyAlignment="1">
      <alignment horizontal="center"/>
    </xf>
    <xf numFmtId="170" fontId="8" fillId="0" borderId="20" xfId="4" applyNumberFormat="1" applyFont="1" applyBorder="1" applyAlignment="1">
      <alignment horizontal="left"/>
    </xf>
    <xf numFmtId="166" fontId="5" fillId="0" borderId="21" xfId="4" applyNumberFormat="1" applyFont="1" applyBorder="1" applyAlignment="1">
      <alignment horizontal="center"/>
    </xf>
    <xf numFmtId="0" fontId="8" fillId="0" borderId="22" xfId="4" applyFont="1" applyBorder="1" applyAlignment="1">
      <alignment horizontal="left"/>
    </xf>
    <xf numFmtId="0" fontId="8" fillId="0" borderId="11" xfId="4" applyFont="1" applyBorder="1" applyAlignment="1">
      <alignment horizontal="center"/>
    </xf>
    <xf numFmtId="0" fontId="8" fillId="0" borderId="12" xfId="4" applyFont="1" applyBorder="1" applyAlignment="1">
      <alignment horizontal="center"/>
    </xf>
    <xf numFmtId="0" fontId="8" fillId="0" borderId="23" xfId="4" applyFont="1" applyBorder="1" applyAlignment="1">
      <alignment horizontal="left"/>
    </xf>
    <xf numFmtId="0" fontId="8" fillId="0" borderId="24" xfId="4" applyFont="1" applyBorder="1" applyAlignment="1">
      <alignment horizontal="center"/>
    </xf>
    <xf numFmtId="0" fontId="8" fillId="0" borderId="23" xfId="4" applyFont="1" applyBorder="1" applyAlignment="1">
      <alignment horizontal="center"/>
    </xf>
    <xf numFmtId="0" fontId="8" fillId="0" borderId="24" xfId="4" applyFont="1" applyBorder="1" applyAlignment="1">
      <alignment horizontal="left"/>
    </xf>
    <xf numFmtId="170" fontId="8" fillId="0" borderId="23" xfId="4" applyNumberFormat="1" applyFont="1" applyBorder="1" applyAlignment="1">
      <alignment horizontal="left"/>
    </xf>
    <xf numFmtId="166" fontId="5" fillId="0" borderId="24" xfId="4" applyNumberFormat="1" applyFont="1" applyBorder="1" applyAlignment="1">
      <alignment horizontal="center"/>
    </xf>
    <xf numFmtId="0" fontId="8" fillId="0" borderId="14" xfId="4" applyFont="1" applyBorder="1" applyAlignment="1">
      <alignment horizontal="center"/>
    </xf>
    <xf numFmtId="0" fontId="8" fillId="0" borderId="15" xfId="4" applyFont="1" applyBorder="1" applyAlignment="1">
      <alignment horizontal="center"/>
    </xf>
    <xf numFmtId="0" fontId="8" fillId="0" borderId="30" xfId="4" applyFont="1" applyBorder="1" applyAlignment="1">
      <alignment horizontal="center"/>
    </xf>
    <xf numFmtId="0" fontId="8" fillId="0" borderId="31" xfId="4" applyFont="1" applyBorder="1" applyAlignment="1">
      <alignment horizontal="center"/>
    </xf>
    <xf numFmtId="0" fontId="8" fillId="0" borderId="17" xfId="4" applyFont="1" applyBorder="1" applyAlignment="1">
      <alignment horizontal="center"/>
    </xf>
    <xf numFmtId="0" fontId="8" fillId="0" borderId="18" xfId="4" applyFont="1" applyBorder="1" applyAlignment="1">
      <alignment horizontal="center"/>
    </xf>
    <xf numFmtId="0" fontId="8" fillId="0" borderId="25" xfId="4" applyFont="1" applyBorder="1" applyAlignment="1">
      <alignment horizontal="center"/>
    </xf>
    <xf numFmtId="0" fontId="8" fillId="0" borderId="26" xfId="4" applyFont="1" applyBorder="1" applyAlignment="1">
      <alignment horizontal="center"/>
    </xf>
    <xf numFmtId="170" fontId="8" fillId="0" borderId="25" xfId="4" applyNumberFormat="1" applyFont="1" applyBorder="1" applyAlignment="1">
      <alignment horizontal="center"/>
    </xf>
    <xf numFmtId="0" fontId="8" fillId="0" borderId="2" xfId="4" applyFont="1" applyBorder="1" applyAlignment="1">
      <alignment horizontal="center" vertical="center" wrapText="1"/>
    </xf>
    <xf numFmtId="0" fontId="8" fillId="0" borderId="27" xfId="4" applyFont="1" applyBorder="1" applyAlignment="1">
      <alignment horizontal="center" vertical="center"/>
    </xf>
    <xf numFmtId="0" fontId="8" fillId="0" borderId="20" xfId="4" applyFont="1" applyBorder="1" applyAlignment="1">
      <alignment horizontal="center"/>
    </xf>
    <xf numFmtId="0" fontId="8" fillId="0" borderId="21" xfId="4" applyFont="1" applyBorder="1" applyAlignment="1">
      <alignment horizontal="center"/>
    </xf>
    <xf numFmtId="0" fontId="8" fillId="0" borderId="8" xfId="4" applyFont="1" applyBorder="1" applyAlignment="1">
      <alignment horizontal="left"/>
    </xf>
    <xf numFmtId="0" fontId="8" fillId="0" borderId="7" xfId="4" applyFont="1" applyBorder="1" applyAlignment="1">
      <alignment horizontal="center"/>
    </xf>
    <xf numFmtId="0" fontId="8" fillId="0" borderId="8" xfId="4" applyFont="1" applyBorder="1" applyAlignment="1">
      <alignment horizontal="center"/>
    </xf>
    <xf numFmtId="170" fontId="8" fillId="0" borderId="7" xfId="4" applyNumberFormat="1" applyFont="1" applyBorder="1" applyAlignment="1">
      <alignment horizontal="left"/>
    </xf>
    <xf numFmtId="0" fontId="12" fillId="0" borderId="32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18" fillId="0" borderId="1" xfId="0" applyFont="1" applyFill="1" applyBorder="1" applyAlignment="1">
      <alignment vertical="top" wrapText="1"/>
    </xf>
    <xf numFmtId="0" fontId="0" fillId="0" borderId="1" xfId="0" applyBorder="1">
      <alignment vertical="center"/>
    </xf>
  </cellXfs>
  <cellStyles count="7">
    <cellStyle name="Currency" xfId="1" builtinId="4"/>
    <cellStyle name="Normal" xfId="0" builtinId="0"/>
    <cellStyle name="常规_Sheet1" xfId="5" xr:uid="{12177D21-08E5-4D11-A783-8871503F5F3D}"/>
    <cellStyle name="常规_Sheet1_1" xfId="4" xr:uid="{F1ED55CD-C94A-44EA-A570-6F7663BE1B90}"/>
    <cellStyle name="常规_Sheet1_2" xfId="3" xr:uid="{1672AB00-8DC3-4516-B694-EF27535EFE75}"/>
    <cellStyle name="常规_Sheet1_3" xfId="2" xr:uid="{64B8464C-AC18-4F9D-921B-3F0B6F22C5E0}"/>
    <cellStyle name="货币_Sheet1" xfId="6" xr:uid="{0D4EB4F5-0713-4F2E-9D78-3F1C403B154B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CC75-89CC-4BC0-919B-7D3B8290BDA1}">
  <dimension ref="A1:M135"/>
  <sheetViews>
    <sheetView topLeftCell="A7" zoomScaleSheetLayoutView="100" workbookViewId="0">
      <selection activeCell="O25" sqref="O25"/>
    </sheetView>
  </sheetViews>
  <sheetFormatPr defaultRowHeight="14.25"/>
  <cols>
    <col min="1" max="1" width="19" customWidth="1"/>
    <col min="2" max="2" width="9.375" style="2" customWidth="1"/>
    <col min="3" max="3" width="6.75" customWidth="1"/>
    <col min="4" max="4" width="18.875" style="3" customWidth="1"/>
    <col min="5" max="5" width="6" style="3" customWidth="1"/>
    <col min="6" max="6" width="5.5" style="3" customWidth="1"/>
    <col min="7" max="7" width="22.625" style="3" customWidth="1"/>
    <col min="8" max="8" width="9.75" style="3" customWidth="1"/>
    <col min="9" max="9" width="7.75" style="3" customWidth="1"/>
    <col min="10" max="10" width="11.625" style="3" customWidth="1"/>
    <col min="11" max="11" width="11.75" style="3" customWidth="1"/>
    <col min="12" max="12" width="15.5" style="3" customWidth="1"/>
    <col min="13" max="13" width="12.625" bestFit="1" customWidth="1"/>
  </cols>
  <sheetData>
    <row r="1" spans="1:12" ht="25.5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5"/>
    </row>
    <row r="2" spans="1:12" ht="22.5">
      <c r="A2" s="106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7"/>
    </row>
    <row r="3" spans="1:12" ht="15.75">
      <c r="A3" s="108" t="s">
        <v>2</v>
      </c>
      <c r="B3" s="108"/>
      <c r="C3" s="108"/>
      <c r="D3" s="108"/>
      <c r="E3" s="108"/>
      <c r="F3" s="108"/>
      <c r="G3" s="108"/>
      <c r="H3" s="108"/>
      <c r="I3" s="108"/>
      <c r="J3" s="108"/>
      <c r="K3" s="107"/>
    </row>
    <row r="4" spans="1:12" ht="15.75">
      <c r="A4" s="108" t="s">
        <v>3</v>
      </c>
      <c r="B4" s="108"/>
      <c r="C4" s="108"/>
      <c r="D4" s="108"/>
      <c r="E4" s="108"/>
      <c r="F4" s="108"/>
      <c r="G4" s="108"/>
      <c r="H4" s="108"/>
      <c r="I4" s="108"/>
      <c r="J4" s="108"/>
      <c r="K4" s="107"/>
    </row>
    <row r="5" spans="1:12" ht="20.25">
      <c r="A5" s="4"/>
      <c r="B5" s="5"/>
      <c r="C5" s="4"/>
      <c r="D5" s="4"/>
      <c r="E5" s="4"/>
      <c r="F5" s="4"/>
      <c r="G5" s="4"/>
      <c r="H5" s="4"/>
      <c r="I5" s="4"/>
      <c r="J5" s="4"/>
      <c r="K5" s="6"/>
    </row>
    <row r="6" spans="1:12" ht="21" customHeight="1">
      <c r="A6" s="109" t="s">
        <v>4</v>
      </c>
      <c r="B6" s="109"/>
      <c r="C6" s="109"/>
      <c r="D6" s="109"/>
      <c r="E6" s="109"/>
      <c r="F6" s="109"/>
      <c r="G6" s="109"/>
      <c r="H6" s="109"/>
      <c r="I6" s="109"/>
      <c r="J6" s="109"/>
      <c r="K6" s="107"/>
    </row>
    <row r="7" spans="1:12">
      <c r="A7" s="7" t="s">
        <v>5</v>
      </c>
      <c r="B7" s="8"/>
      <c r="C7" s="8"/>
      <c r="D7" s="8"/>
      <c r="E7" s="8"/>
      <c r="F7" s="8"/>
      <c r="G7" s="9"/>
      <c r="H7" s="110" t="s">
        <v>6</v>
      </c>
      <c r="I7" s="110"/>
      <c r="J7" s="110"/>
      <c r="K7" s="10"/>
      <c r="L7" s="11"/>
    </row>
    <row r="8" spans="1:12">
      <c r="A8" s="111" t="s">
        <v>7</v>
      </c>
      <c r="B8" s="111"/>
      <c r="C8" s="111"/>
      <c r="D8" s="8"/>
      <c r="E8" s="8"/>
      <c r="F8" s="8"/>
      <c r="G8" s="9"/>
      <c r="H8" s="9"/>
      <c r="I8" s="112" t="s">
        <v>8</v>
      </c>
      <c r="J8" s="113"/>
      <c r="K8" s="10"/>
      <c r="L8" s="11"/>
    </row>
    <row r="9" spans="1:12">
      <c r="A9" s="12" t="s">
        <v>9</v>
      </c>
      <c r="B9" s="12"/>
      <c r="C9" s="12" t="s">
        <v>10</v>
      </c>
      <c r="D9" s="8"/>
      <c r="E9" s="8"/>
      <c r="F9" s="8"/>
      <c r="G9" s="9"/>
      <c r="H9" s="9"/>
      <c r="I9" s="9"/>
      <c r="J9" s="13"/>
      <c r="K9" s="10"/>
      <c r="L9" s="11"/>
    </row>
    <row r="10" spans="1:12">
      <c r="A10" s="8" t="s">
        <v>11</v>
      </c>
      <c r="B10" s="8"/>
      <c r="C10" s="8"/>
      <c r="D10" s="8"/>
      <c r="E10" s="8"/>
      <c r="F10" s="8"/>
      <c r="G10" s="9"/>
      <c r="H10" s="110" t="s">
        <v>12</v>
      </c>
      <c r="I10" s="110"/>
      <c r="J10" s="110"/>
      <c r="K10" s="10"/>
      <c r="L10" s="11"/>
    </row>
    <row r="11" spans="1:12">
      <c r="A11" s="9"/>
      <c r="B11" s="9"/>
      <c r="C11" s="9"/>
      <c r="D11" s="9"/>
      <c r="E11" s="9"/>
      <c r="F11" s="9"/>
      <c r="G11" s="9"/>
      <c r="H11" s="9"/>
      <c r="I11" s="110"/>
      <c r="J11" s="110"/>
      <c r="K11" s="10"/>
      <c r="L11" s="11"/>
    </row>
    <row r="12" spans="1:12">
      <c r="A12" s="7" t="s">
        <v>13</v>
      </c>
      <c r="B12" s="8"/>
      <c r="C12" s="12"/>
      <c r="D12" s="8"/>
      <c r="E12" s="8"/>
      <c r="F12" s="8"/>
      <c r="G12" s="9"/>
      <c r="H12" s="9"/>
      <c r="I12" s="110"/>
      <c r="J12" s="110"/>
      <c r="K12" s="10"/>
      <c r="L12" s="11"/>
    </row>
    <row r="13" spans="1:12">
      <c r="A13" s="102" t="s">
        <v>14</v>
      </c>
      <c r="B13" s="103"/>
      <c r="C13" s="103"/>
      <c r="D13" s="8"/>
      <c r="E13" s="8"/>
      <c r="F13" s="8"/>
      <c r="G13" s="9"/>
      <c r="H13" s="9"/>
      <c r="I13" s="9"/>
      <c r="J13" s="13"/>
      <c r="K13" s="10"/>
      <c r="L13" s="11"/>
    </row>
    <row r="14" spans="1:12">
      <c r="A14" s="102" t="s">
        <v>15</v>
      </c>
      <c r="B14" s="103"/>
      <c r="C14" s="103"/>
      <c r="D14" s="8"/>
      <c r="E14" s="8"/>
      <c r="F14" s="8"/>
      <c r="G14" s="9"/>
      <c r="H14" s="110" t="s">
        <v>16</v>
      </c>
      <c r="I14" s="110"/>
      <c r="J14" s="110"/>
      <c r="K14" s="10"/>
      <c r="L14" s="11"/>
    </row>
    <row r="15" spans="1:12">
      <c r="A15" s="14" t="s">
        <v>17</v>
      </c>
      <c r="B15" s="15"/>
      <c r="C15" s="15"/>
      <c r="D15" s="8"/>
      <c r="E15" s="8"/>
      <c r="F15" s="8"/>
      <c r="G15" s="9"/>
      <c r="H15" s="9"/>
      <c r="I15" s="110"/>
      <c r="J15" s="110"/>
      <c r="K15" s="10"/>
      <c r="L15" s="11"/>
    </row>
    <row r="16" spans="1:12">
      <c r="A16" s="13"/>
      <c r="B16" s="9"/>
      <c r="C16" s="13"/>
      <c r="D16" s="13"/>
      <c r="E16" s="13"/>
      <c r="F16" s="13"/>
      <c r="G16" s="13"/>
      <c r="H16" s="13"/>
      <c r="I16" s="13"/>
      <c r="J16" s="13"/>
      <c r="K16" s="10"/>
      <c r="L16" s="11"/>
    </row>
    <row r="17" spans="1:13">
      <c r="A17" s="110" t="s">
        <v>18</v>
      </c>
      <c r="B17" s="110"/>
      <c r="C17" s="114"/>
      <c r="D17" s="110" t="s">
        <v>19</v>
      </c>
      <c r="E17" s="110"/>
      <c r="F17" s="110"/>
      <c r="G17" s="110" t="s">
        <v>20</v>
      </c>
      <c r="H17" s="110"/>
      <c r="I17" s="110" t="s">
        <v>21</v>
      </c>
      <c r="J17" s="110"/>
      <c r="K17" s="115"/>
      <c r="L17" s="11"/>
    </row>
    <row r="18" spans="1:13" ht="15" customHeight="1">
      <c r="A18" s="110" t="s">
        <v>22</v>
      </c>
      <c r="B18" s="110"/>
      <c r="C18" s="110"/>
      <c r="D18" s="110"/>
      <c r="E18" s="110"/>
      <c r="F18" s="110"/>
      <c r="G18" s="110" t="s">
        <v>23</v>
      </c>
      <c r="H18" s="110"/>
      <c r="I18" s="117" t="s">
        <v>24</v>
      </c>
      <c r="J18" s="117"/>
      <c r="K18" s="118"/>
      <c r="L18" s="11"/>
    </row>
    <row r="19" spans="1:13">
      <c r="A19" s="110" t="s">
        <v>25</v>
      </c>
      <c r="B19" s="110"/>
      <c r="C19" s="114"/>
      <c r="D19" s="110" t="s">
        <v>26</v>
      </c>
      <c r="E19" s="110"/>
      <c r="F19" s="110"/>
      <c r="G19" s="9" t="s">
        <v>27</v>
      </c>
      <c r="H19" s="110" t="s">
        <v>28</v>
      </c>
      <c r="I19" s="110"/>
      <c r="J19" s="110" t="s">
        <v>29</v>
      </c>
      <c r="K19" s="115"/>
      <c r="L19" s="11"/>
    </row>
    <row r="20" spans="1:13">
      <c r="A20" s="110" t="s">
        <v>30</v>
      </c>
      <c r="B20" s="110"/>
      <c r="C20" s="110"/>
      <c r="D20" s="110" t="s">
        <v>30</v>
      </c>
      <c r="E20" s="110"/>
      <c r="F20" s="110"/>
      <c r="G20" s="16">
        <f>I135</f>
        <v>1322</v>
      </c>
      <c r="H20" s="116">
        <f>J135</f>
        <v>19375</v>
      </c>
      <c r="I20" s="116"/>
      <c r="J20" s="116">
        <f>K135</f>
        <v>20890.000000000007</v>
      </c>
      <c r="K20" s="116"/>
      <c r="L20" s="11"/>
    </row>
    <row r="21" spans="1:13" ht="12" customHeight="1">
      <c r="A21" s="17"/>
      <c r="B21" s="17"/>
      <c r="C21" s="18"/>
      <c r="D21" s="17"/>
      <c r="E21" s="17"/>
      <c r="F21" s="17"/>
      <c r="G21" s="19"/>
      <c r="H21" s="19"/>
      <c r="I21" s="19"/>
      <c r="J21" s="18"/>
      <c r="K21" s="10"/>
      <c r="L21" s="11"/>
    </row>
    <row r="22" spans="1:13" ht="21" customHeight="1">
      <c r="A22" s="20" t="s">
        <v>31</v>
      </c>
      <c r="B22" s="20" t="s">
        <v>32</v>
      </c>
      <c r="C22" s="21" t="s">
        <v>33</v>
      </c>
      <c r="D22" s="21" t="s">
        <v>34</v>
      </c>
      <c r="E22" s="20" t="s">
        <v>35</v>
      </c>
      <c r="F22" s="20" t="s">
        <v>36</v>
      </c>
      <c r="G22" s="21" t="s">
        <v>37</v>
      </c>
      <c r="H22" s="22" t="s">
        <v>38</v>
      </c>
      <c r="I22" s="22" t="s">
        <v>39</v>
      </c>
      <c r="J22" s="22" t="s">
        <v>40</v>
      </c>
      <c r="K22" s="22" t="s">
        <v>41</v>
      </c>
      <c r="L22" s="23" t="s">
        <v>42</v>
      </c>
    </row>
    <row r="23" spans="1:13" ht="12" customHeight="1">
      <c r="A23" s="21"/>
      <c r="B23" s="24" t="s">
        <v>43</v>
      </c>
      <c r="C23" s="20"/>
      <c r="D23" s="20" t="s">
        <v>44</v>
      </c>
      <c r="E23" s="25" t="s">
        <v>45</v>
      </c>
      <c r="F23" s="24" t="s">
        <v>46</v>
      </c>
      <c r="G23" s="20" t="s">
        <v>47</v>
      </c>
      <c r="H23" s="26" t="s">
        <v>48</v>
      </c>
      <c r="I23" s="27"/>
      <c r="J23" s="28" t="s">
        <v>49</v>
      </c>
      <c r="K23" s="29" t="s">
        <v>49</v>
      </c>
      <c r="L23" s="30" t="s">
        <v>50</v>
      </c>
    </row>
    <row r="24" spans="1:13" s="1" customFormat="1" ht="27.95" customHeight="1">
      <c r="A24" s="31" t="s">
        <v>51</v>
      </c>
      <c r="B24" s="101" t="s">
        <v>368</v>
      </c>
      <c r="C24" s="31" t="s">
        <v>52</v>
      </c>
      <c r="D24" s="31" t="s">
        <v>53</v>
      </c>
      <c r="E24" s="31" t="s">
        <v>54</v>
      </c>
      <c r="F24" s="31">
        <v>100</v>
      </c>
      <c r="G24" s="31" t="s">
        <v>55</v>
      </c>
      <c r="H24" s="32">
        <v>5000</v>
      </c>
      <c r="I24" s="31">
        <v>5</v>
      </c>
      <c r="J24" s="33">
        <v>73</v>
      </c>
      <c r="K24" s="33">
        <v>76.5</v>
      </c>
      <c r="L24" s="34" t="s">
        <v>56</v>
      </c>
      <c r="M24" s="165" t="s">
        <v>296</v>
      </c>
    </row>
    <row r="25" spans="1:13" s="1" customFormat="1" ht="27.95" customHeight="1">
      <c r="A25" s="31" t="s">
        <v>51</v>
      </c>
      <c r="B25" s="101" t="s">
        <v>368</v>
      </c>
      <c r="C25" s="31" t="s">
        <v>52</v>
      </c>
      <c r="D25" s="31" t="s">
        <v>53</v>
      </c>
      <c r="E25" s="31" t="s">
        <v>54</v>
      </c>
      <c r="F25" s="31">
        <v>100</v>
      </c>
      <c r="G25" s="31" t="s">
        <v>55</v>
      </c>
      <c r="H25" s="32">
        <v>800</v>
      </c>
      <c r="I25" s="31">
        <v>1</v>
      </c>
      <c r="J25" s="33">
        <v>11.7</v>
      </c>
      <c r="K25" s="33">
        <v>12.4</v>
      </c>
      <c r="L25" s="34" t="s">
        <v>56</v>
      </c>
      <c r="M25" s="165" t="s">
        <v>296</v>
      </c>
    </row>
    <row r="26" spans="1:13" s="1" customFormat="1" ht="27.95" customHeight="1">
      <c r="A26" s="31" t="s">
        <v>57</v>
      </c>
      <c r="B26" s="101" t="s">
        <v>369</v>
      </c>
      <c r="C26" s="31" t="s">
        <v>58</v>
      </c>
      <c r="D26" s="31" t="s">
        <v>59</v>
      </c>
      <c r="E26" s="31" t="s">
        <v>45</v>
      </c>
      <c r="F26" s="31">
        <v>200</v>
      </c>
      <c r="G26" s="31" t="s">
        <v>60</v>
      </c>
      <c r="H26" s="32">
        <v>10000</v>
      </c>
      <c r="I26" s="31">
        <v>5</v>
      </c>
      <c r="J26" s="33">
        <v>67.5</v>
      </c>
      <c r="K26" s="33">
        <v>71</v>
      </c>
      <c r="L26" s="34" t="s">
        <v>61</v>
      </c>
      <c r="M26" s="165" t="s">
        <v>320</v>
      </c>
    </row>
    <row r="27" spans="1:13" s="1" customFormat="1" ht="27.95" customHeight="1">
      <c r="A27" s="31" t="s">
        <v>57</v>
      </c>
      <c r="B27" s="101" t="s">
        <v>360</v>
      </c>
      <c r="C27" s="31" t="s">
        <v>58</v>
      </c>
      <c r="D27" s="31" t="s">
        <v>62</v>
      </c>
      <c r="E27" s="31" t="s">
        <v>45</v>
      </c>
      <c r="F27" s="31">
        <v>200</v>
      </c>
      <c r="G27" s="31" t="s">
        <v>60</v>
      </c>
      <c r="H27" s="32">
        <v>10000</v>
      </c>
      <c r="I27" s="31">
        <v>5</v>
      </c>
      <c r="J27" s="33">
        <v>68</v>
      </c>
      <c r="K27" s="33">
        <v>71.5</v>
      </c>
      <c r="L27" s="34" t="s">
        <v>61</v>
      </c>
      <c r="M27" s="165" t="s">
        <v>291</v>
      </c>
    </row>
    <row r="28" spans="1:13" s="1" customFormat="1" ht="27.95" customHeight="1">
      <c r="A28" s="31" t="s">
        <v>51</v>
      </c>
      <c r="B28" s="101" t="s">
        <v>364</v>
      </c>
      <c r="C28" s="31" t="s">
        <v>52</v>
      </c>
      <c r="D28" s="31" t="s">
        <v>53</v>
      </c>
      <c r="E28" s="31" t="s">
        <v>54</v>
      </c>
      <c r="F28" s="31">
        <v>150</v>
      </c>
      <c r="G28" s="31" t="s">
        <v>63</v>
      </c>
      <c r="H28" s="32">
        <v>30000</v>
      </c>
      <c r="I28" s="31">
        <v>20</v>
      </c>
      <c r="J28" s="33">
        <v>270</v>
      </c>
      <c r="K28" s="33">
        <v>284</v>
      </c>
      <c r="L28" s="34" t="s">
        <v>64</v>
      </c>
      <c r="M28" s="165" t="s">
        <v>308</v>
      </c>
    </row>
    <row r="29" spans="1:13" s="1" customFormat="1" ht="27.95" customHeight="1">
      <c r="A29" s="31" t="s">
        <v>65</v>
      </c>
      <c r="B29" s="101" t="s">
        <v>365</v>
      </c>
      <c r="C29" s="31" t="s">
        <v>66</v>
      </c>
      <c r="D29" s="31" t="s">
        <v>67</v>
      </c>
      <c r="E29" s="31" t="s">
        <v>54</v>
      </c>
      <c r="F29" s="31">
        <v>100</v>
      </c>
      <c r="G29" s="31" t="s">
        <v>68</v>
      </c>
      <c r="H29" s="32">
        <v>22000</v>
      </c>
      <c r="I29" s="31">
        <v>44</v>
      </c>
      <c r="J29" s="33">
        <v>360.79999999999995</v>
      </c>
      <c r="K29" s="33">
        <v>378.4</v>
      </c>
      <c r="L29" s="34" t="s">
        <v>69</v>
      </c>
      <c r="M29" s="165" t="s">
        <v>328</v>
      </c>
    </row>
    <row r="30" spans="1:13" s="1" customFormat="1" ht="27.95" customHeight="1">
      <c r="A30" s="31" t="s">
        <v>51</v>
      </c>
      <c r="B30" s="101" t="s">
        <v>365</v>
      </c>
      <c r="C30" s="31" t="s">
        <v>52</v>
      </c>
      <c r="D30" s="31" t="s">
        <v>70</v>
      </c>
      <c r="E30" s="31" t="s">
        <v>54</v>
      </c>
      <c r="F30" s="31">
        <v>150</v>
      </c>
      <c r="G30" s="31" t="s">
        <v>71</v>
      </c>
      <c r="H30" s="32">
        <v>30000</v>
      </c>
      <c r="I30" s="31">
        <v>20</v>
      </c>
      <c r="J30" s="33">
        <v>286</v>
      </c>
      <c r="K30" s="33">
        <v>302</v>
      </c>
      <c r="L30" s="34" t="s">
        <v>72</v>
      </c>
      <c r="M30" s="165" t="s">
        <v>341</v>
      </c>
    </row>
    <row r="31" spans="1:13" s="1" customFormat="1" ht="27.95" customHeight="1">
      <c r="A31" s="31" t="s">
        <v>51</v>
      </c>
      <c r="B31" s="101" t="s">
        <v>371</v>
      </c>
      <c r="C31" s="31" t="s">
        <v>52</v>
      </c>
      <c r="D31" s="31" t="s">
        <v>53</v>
      </c>
      <c r="E31" s="31" t="s">
        <v>54</v>
      </c>
      <c r="F31" s="31">
        <v>100</v>
      </c>
      <c r="G31" s="31" t="s">
        <v>55</v>
      </c>
      <c r="H31" s="32">
        <v>3000</v>
      </c>
      <c r="I31" s="31">
        <v>3</v>
      </c>
      <c r="J31" s="33">
        <v>42.599999999999994</v>
      </c>
      <c r="K31" s="33">
        <v>44.7</v>
      </c>
      <c r="L31" s="34" t="s">
        <v>56</v>
      </c>
      <c r="M31" s="165" t="s">
        <v>296</v>
      </c>
    </row>
    <row r="32" spans="1:13" s="1" customFormat="1" ht="27.95" customHeight="1">
      <c r="A32" s="31" t="s">
        <v>51</v>
      </c>
      <c r="B32" s="101" t="s">
        <v>372</v>
      </c>
      <c r="C32" s="31" t="s">
        <v>52</v>
      </c>
      <c r="D32" s="31" t="s">
        <v>73</v>
      </c>
      <c r="E32" s="31" t="s">
        <v>54</v>
      </c>
      <c r="F32" s="31">
        <v>150</v>
      </c>
      <c r="G32" s="31" t="s">
        <v>74</v>
      </c>
      <c r="H32" s="32">
        <v>81000</v>
      </c>
      <c r="I32" s="31">
        <v>54</v>
      </c>
      <c r="J32" s="33">
        <v>664.2</v>
      </c>
      <c r="K32" s="33">
        <v>702</v>
      </c>
      <c r="L32" s="34" t="s">
        <v>64</v>
      </c>
      <c r="M32" s="165" t="s">
        <v>304</v>
      </c>
    </row>
    <row r="33" spans="1:13" s="1" customFormat="1" ht="27.95" customHeight="1">
      <c r="A33" s="31" t="s">
        <v>65</v>
      </c>
      <c r="B33" s="101" t="s">
        <v>372</v>
      </c>
      <c r="C33" s="31" t="s">
        <v>66</v>
      </c>
      <c r="D33" s="31" t="s">
        <v>67</v>
      </c>
      <c r="E33" s="31" t="s">
        <v>54</v>
      </c>
      <c r="F33" s="31">
        <v>100</v>
      </c>
      <c r="G33" s="31" t="s">
        <v>68</v>
      </c>
      <c r="H33" s="32">
        <v>10500</v>
      </c>
      <c r="I33" s="31">
        <v>21</v>
      </c>
      <c r="J33" s="33">
        <v>168</v>
      </c>
      <c r="K33" s="33">
        <v>176.4</v>
      </c>
      <c r="L33" s="34" t="s">
        <v>69</v>
      </c>
      <c r="M33" s="165" t="s">
        <v>328</v>
      </c>
    </row>
    <row r="34" spans="1:13" s="1" customFormat="1" ht="27.95" customHeight="1">
      <c r="A34" s="31" t="s">
        <v>51</v>
      </c>
      <c r="B34" s="101" t="s">
        <v>372</v>
      </c>
      <c r="C34" s="31" t="s">
        <v>52</v>
      </c>
      <c r="D34" s="31" t="s">
        <v>75</v>
      </c>
      <c r="E34" s="31" t="s">
        <v>54</v>
      </c>
      <c r="F34" s="31">
        <v>150</v>
      </c>
      <c r="G34" s="31" t="s">
        <v>76</v>
      </c>
      <c r="H34" s="32">
        <v>81000</v>
      </c>
      <c r="I34" s="31">
        <v>54</v>
      </c>
      <c r="J34" s="33">
        <v>777.6</v>
      </c>
      <c r="K34" s="33">
        <v>820.8</v>
      </c>
      <c r="L34" s="34" t="s">
        <v>72</v>
      </c>
      <c r="M34" s="165" t="s">
        <v>351</v>
      </c>
    </row>
    <row r="35" spans="1:13" s="1" customFormat="1" ht="27.95" customHeight="1">
      <c r="A35" s="31" t="s">
        <v>57</v>
      </c>
      <c r="B35" s="101" t="s">
        <v>373</v>
      </c>
      <c r="C35" s="31" t="s">
        <v>77</v>
      </c>
      <c r="D35" s="31" t="s">
        <v>62</v>
      </c>
      <c r="E35" s="31" t="s">
        <v>45</v>
      </c>
      <c r="F35" s="31">
        <v>200</v>
      </c>
      <c r="G35" s="31" t="s">
        <v>78</v>
      </c>
      <c r="H35" s="32">
        <v>22000</v>
      </c>
      <c r="I35" s="31">
        <v>11</v>
      </c>
      <c r="J35" s="33">
        <v>110</v>
      </c>
      <c r="K35" s="33">
        <v>117.69999999999999</v>
      </c>
      <c r="L35" s="34" t="s">
        <v>61</v>
      </c>
      <c r="M35" s="165" t="s">
        <v>305</v>
      </c>
    </row>
    <row r="36" spans="1:13" s="1" customFormat="1" ht="27.95" customHeight="1">
      <c r="A36" s="31" t="s">
        <v>51</v>
      </c>
      <c r="B36" s="101" t="s">
        <v>374</v>
      </c>
      <c r="C36" s="31" t="s">
        <v>52</v>
      </c>
      <c r="D36" s="31" t="s">
        <v>79</v>
      </c>
      <c r="E36" s="31" t="s">
        <v>54</v>
      </c>
      <c r="F36" s="31">
        <v>100</v>
      </c>
      <c r="G36" s="31" t="s">
        <v>80</v>
      </c>
      <c r="H36" s="32">
        <v>10000</v>
      </c>
      <c r="I36" s="31">
        <v>10</v>
      </c>
      <c r="J36" s="33">
        <v>139</v>
      </c>
      <c r="K36" s="33">
        <v>146</v>
      </c>
      <c r="L36" s="34" t="s">
        <v>64</v>
      </c>
      <c r="M36" s="165" t="s">
        <v>327</v>
      </c>
    </row>
    <row r="37" spans="1:13" s="1" customFormat="1" ht="27.95" customHeight="1">
      <c r="A37" s="31" t="s">
        <v>51</v>
      </c>
      <c r="B37" s="101" t="s">
        <v>374</v>
      </c>
      <c r="C37" s="31" t="s">
        <v>52</v>
      </c>
      <c r="D37" s="31" t="s">
        <v>81</v>
      </c>
      <c r="E37" s="31" t="s">
        <v>54</v>
      </c>
      <c r="F37" s="31">
        <v>150</v>
      </c>
      <c r="G37" s="31" t="s">
        <v>82</v>
      </c>
      <c r="H37" s="32">
        <v>34500</v>
      </c>
      <c r="I37" s="31">
        <v>23</v>
      </c>
      <c r="J37" s="33">
        <v>331.2</v>
      </c>
      <c r="K37" s="33">
        <v>349.6</v>
      </c>
      <c r="L37" s="34" t="s">
        <v>83</v>
      </c>
      <c r="M37" s="165" t="s">
        <v>322</v>
      </c>
    </row>
    <row r="38" spans="1:13" s="1" customFormat="1" ht="27.95" customHeight="1">
      <c r="A38" s="31" t="s">
        <v>51</v>
      </c>
      <c r="B38" s="101" t="s">
        <v>374</v>
      </c>
      <c r="C38" s="31" t="s">
        <v>52</v>
      </c>
      <c r="D38" s="31" t="s">
        <v>84</v>
      </c>
      <c r="E38" s="31" t="s">
        <v>54</v>
      </c>
      <c r="F38" s="31">
        <v>150</v>
      </c>
      <c r="G38" s="31" t="s">
        <v>85</v>
      </c>
      <c r="H38" s="32">
        <v>9000</v>
      </c>
      <c r="I38" s="31">
        <v>6</v>
      </c>
      <c r="J38" s="33">
        <v>86.4</v>
      </c>
      <c r="K38" s="33">
        <v>91.800000000000011</v>
      </c>
      <c r="L38" s="34" t="s">
        <v>86</v>
      </c>
      <c r="M38" s="165" t="s">
        <v>321</v>
      </c>
    </row>
    <row r="39" spans="1:13" s="1" customFormat="1" ht="27.95" customHeight="1">
      <c r="A39" s="31" t="s">
        <v>51</v>
      </c>
      <c r="B39" s="101" t="s">
        <v>374</v>
      </c>
      <c r="C39" s="31" t="s">
        <v>52</v>
      </c>
      <c r="D39" s="31" t="s">
        <v>87</v>
      </c>
      <c r="E39" s="31" t="s">
        <v>54</v>
      </c>
      <c r="F39" s="31">
        <v>150</v>
      </c>
      <c r="G39" s="31" t="s">
        <v>63</v>
      </c>
      <c r="H39" s="32">
        <v>6000</v>
      </c>
      <c r="I39" s="31">
        <v>4</v>
      </c>
      <c r="J39" s="33">
        <v>50.8</v>
      </c>
      <c r="K39" s="33">
        <v>53.2</v>
      </c>
      <c r="L39" s="34" t="s">
        <v>88</v>
      </c>
      <c r="M39" s="165" t="s">
        <v>317</v>
      </c>
    </row>
    <row r="40" spans="1:13" s="1" customFormat="1" ht="27.95" customHeight="1">
      <c r="A40" s="31" t="s">
        <v>51</v>
      </c>
      <c r="B40" s="101" t="s">
        <v>89</v>
      </c>
      <c r="C40" s="31" t="s">
        <v>52</v>
      </c>
      <c r="D40" s="31" t="s">
        <v>90</v>
      </c>
      <c r="E40" s="31" t="s">
        <v>54</v>
      </c>
      <c r="F40" s="31">
        <v>150</v>
      </c>
      <c r="G40" s="31" t="s">
        <v>91</v>
      </c>
      <c r="H40" s="32">
        <v>19500</v>
      </c>
      <c r="I40" s="31">
        <v>13</v>
      </c>
      <c r="J40" s="33">
        <v>201.5</v>
      </c>
      <c r="K40" s="33">
        <v>211.9</v>
      </c>
      <c r="L40" s="34" t="s">
        <v>83</v>
      </c>
      <c r="M40" s="165" t="s">
        <v>331</v>
      </c>
    </row>
    <row r="41" spans="1:13" s="1" customFormat="1" ht="27.95" customHeight="1">
      <c r="A41" s="31" t="s">
        <v>51</v>
      </c>
      <c r="B41" s="101" t="s">
        <v>89</v>
      </c>
      <c r="C41" s="31" t="s">
        <v>52</v>
      </c>
      <c r="D41" s="31" t="s">
        <v>90</v>
      </c>
      <c r="E41" s="31" t="s">
        <v>54</v>
      </c>
      <c r="F41" s="31">
        <v>150</v>
      </c>
      <c r="G41" s="31" t="s">
        <v>91</v>
      </c>
      <c r="H41" s="32">
        <v>1350</v>
      </c>
      <c r="I41" s="31">
        <v>1</v>
      </c>
      <c r="J41" s="33">
        <v>14</v>
      </c>
      <c r="K41" s="33">
        <v>14.8</v>
      </c>
      <c r="L41" s="34" t="s">
        <v>83</v>
      </c>
      <c r="M41" s="165" t="s">
        <v>331</v>
      </c>
    </row>
    <row r="42" spans="1:13" s="1" customFormat="1" ht="27.95" customHeight="1">
      <c r="A42" s="31" t="s">
        <v>51</v>
      </c>
      <c r="B42" s="101" t="s">
        <v>376</v>
      </c>
      <c r="C42" s="31" t="s">
        <v>52</v>
      </c>
      <c r="D42" s="31" t="s">
        <v>67</v>
      </c>
      <c r="E42" s="31" t="s">
        <v>54</v>
      </c>
      <c r="F42" s="31">
        <v>150</v>
      </c>
      <c r="G42" s="31" t="s">
        <v>63</v>
      </c>
      <c r="H42" s="32">
        <v>19500</v>
      </c>
      <c r="I42" s="31">
        <v>13</v>
      </c>
      <c r="J42" s="33">
        <v>174.2</v>
      </c>
      <c r="K42" s="33">
        <v>183.3</v>
      </c>
      <c r="L42" s="34" t="s">
        <v>92</v>
      </c>
      <c r="M42" s="165" t="s">
        <v>306</v>
      </c>
    </row>
    <row r="43" spans="1:13" s="1" customFormat="1" ht="27.95" customHeight="1">
      <c r="A43" s="31" t="s">
        <v>93</v>
      </c>
      <c r="B43" s="101" t="s">
        <v>376</v>
      </c>
      <c r="C43" s="31" t="s">
        <v>66</v>
      </c>
      <c r="D43" s="31" t="s">
        <v>67</v>
      </c>
      <c r="E43" s="31" t="s">
        <v>54</v>
      </c>
      <c r="F43" s="31">
        <v>25</v>
      </c>
      <c r="G43" s="31" t="s">
        <v>94</v>
      </c>
      <c r="H43" s="32">
        <v>100</v>
      </c>
      <c r="I43" s="31">
        <v>10</v>
      </c>
      <c r="J43" s="33">
        <v>52</v>
      </c>
      <c r="K43" s="33">
        <v>58</v>
      </c>
      <c r="L43" s="34" t="s">
        <v>95</v>
      </c>
      <c r="M43" s="165" t="s">
        <v>300</v>
      </c>
    </row>
    <row r="44" spans="1:13" s="1" customFormat="1" ht="27.95" customHeight="1">
      <c r="A44" s="31" t="s">
        <v>96</v>
      </c>
      <c r="B44" s="101" t="s">
        <v>376</v>
      </c>
      <c r="C44" s="31" t="s">
        <v>66</v>
      </c>
      <c r="D44" s="31" t="s">
        <v>67</v>
      </c>
      <c r="E44" s="31" t="s">
        <v>54</v>
      </c>
      <c r="F44" s="31">
        <v>25</v>
      </c>
      <c r="G44" s="31" t="s">
        <v>97</v>
      </c>
      <c r="H44" s="32">
        <v>100</v>
      </c>
      <c r="I44" s="31">
        <v>10</v>
      </c>
      <c r="J44" s="33">
        <v>50</v>
      </c>
      <c r="K44" s="33">
        <v>56</v>
      </c>
      <c r="L44" s="34" t="s">
        <v>95</v>
      </c>
      <c r="M44" s="165" t="s">
        <v>299</v>
      </c>
    </row>
    <row r="45" spans="1:13" s="1" customFormat="1" ht="27.95" customHeight="1">
      <c r="A45" s="31" t="s">
        <v>51</v>
      </c>
      <c r="B45" s="101" t="s">
        <v>377</v>
      </c>
      <c r="C45" s="31" t="s">
        <v>52</v>
      </c>
      <c r="D45" s="31" t="s">
        <v>98</v>
      </c>
      <c r="E45" s="31" t="s">
        <v>99</v>
      </c>
      <c r="F45" s="31"/>
      <c r="G45" s="31" t="s">
        <v>100</v>
      </c>
      <c r="H45" s="32">
        <v>50000</v>
      </c>
      <c r="I45" s="31">
        <v>25</v>
      </c>
      <c r="J45" s="33">
        <v>475</v>
      </c>
      <c r="K45" s="33">
        <v>497.49999999999994</v>
      </c>
      <c r="L45" s="34" t="s">
        <v>101</v>
      </c>
      <c r="M45" s="165" t="s">
        <v>318</v>
      </c>
    </row>
    <row r="46" spans="1:13" s="1" customFormat="1" ht="27.95" customHeight="1">
      <c r="A46" s="31" t="s">
        <v>102</v>
      </c>
      <c r="B46" s="101" t="s">
        <v>377</v>
      </c>
      <c r="C46" s="31" t="s">
        <v>103</v>
      </c>
      <c r="D46" s="31" t="s">
        <v>62</v>
      </c>
      <c r="E46" s="31" t="s">
        <v>104</v>
      </c>
      <c r="F46" s="31">
        <v>50</v>
      </c>
      <c r="G46" s="31" t="s">
        <v>105</v>
      </c>
      <c r="H46" s="32">
        <v>2000</v>
      </c>
      <c r="I46" s="31">
        <v>2</v>
      </c>
      <c r="J46" s="33">
        <v>28.6</v>
      </c>
      <c r="K46" s="33">
        <v>29.8</v>
      </c>
      <c r="L46" s="34" t="s">
        <v>106</v>
      </c>
      <c r="M46" s="165" t="s">
        <v>311</v>
      </c>
    </row>
    <row r="47" spans="1:13" s="1" customFormat="1" ht="27.95" customHeight="1">
      <c r="A47" s="31" t="s">
        <v>102</v>
      </c>
      <c r="B47" s="101" t="s">
        <v>377</v>
      </c>
      <c r="C47" s="31" t="s">
        <v>103</v>
      </c>
      <c r="D47" s="31" t="s">
        <v>62</v>
      </c>
      <c r="E47" s="31" t="s">
        <v>104</v>
      </c>
      <c r="F47" s="31">
        <v>50</v>
      </c>
      <c r="G47" s="31" t="s">
        <v>105</v>
      </c>
      <c r="H47" s="32">
        <v>900</v>
      </c>
      <c r="I47" s="31">
        <v>1</v>
      </c>
      <c r="J47" s="33">
        <v>12.7</v>
      </c>
      <c r="K47" s="33">
        <v>13.3</v>
      </c>
      <c r="L47" s="34" t="s">
        <v>106</v>
      </c>
      <c r="M47" s="165" t="s">
        <v>311</v>
      </c>
    </row>
    <row r="48" spans="1:13" s="1" customFormat="1" ht="27.95" customHeight="1">
      <c r="A48" s="31" t="s">
        <v>107</v>
      </c>
      <c r="B48" s="101" t="s">
        <v>377</v>
      </c>
      <c r="C48" s="31" t="s">
        <v>108</v>
      </c>
      <c r="D48" s="31" t="s">
        <v>109</v>
      </c>
      <c r="E48" s="31" t="s">
        <v>45</v>
      </c>
      <c r="F48" s="31">
        <v>150</v>
      </c>
      <c r="G48" s="31" t="s">
        <v>110</v>
      </c>
      <c r="H48" s="32">
        <v>33000</v>
      </c>
      <c r="I48" s="31">
        <v>22</v>
      </c>
      <c r="J48" s="33">
        <v>242</v>
      </c>
      <c r="K48" s="33">
        <v>257.39999999999998</v>
      </c>
      <c r="L48" s="34" t="s">
        <v>111</v>
      </c>
      <c r="M48" s="165" t="s">
        <v>332</v>
      </c>
    </row>
    <row r="49" spans="1:13" s="1" customFormat="1" ht="27.95" customHeight="1">
      <c r="A49" s="31" t="s">
        <v>51</v>
      </c>
      <c r="B49" s="101" t="s">
        <v>377</v>
      </c>
      <c r="C49" s="31" t="s">
        <v>52</v>
      </c>
      <c r="D49" s="31" t="s">
        <v>62</v>
      </c>
      <c r="E49" s="31" t="s">
        <v>54</v>
      </c>
      <c r="F49" s="31">
        <v>150</v>
      </c>
      <c r="G49" s="31" t="s">
        <v>85</v>
      </c>
      <c r="H49" s="32">
        <v>81000</v>
      </c>
      <c r="I49" s="31">
        <v>54</v>
      </c>
      <c r="J49" s="33">
        <v>810</v>
      </c>
      <c r="K49" s="33">
        <v>853.2</v>
      </c>
      <c r="L49" s="34" t="s">
        <v>83</v>
      </c>
      <c r="M49" s="165" t="s">
        <v>303</v>
      </c>
    </row>
    <row r="50" spans="1:13" s="1" customFormat="1" ht="27.95" customHeight="1">
      <c r="A50" s="31" t="s">
        <v>51</v>
      </c>
      <c r="B50" s="101" t="s">
        <v>377</v>
      </c>
      <c r="C50" s="31" t="s">
        <v>52</v>
      </c>
      <c r="D50" s="31" t="s">
        <v>112</v>
      </c>
      <c r="E50" s="31" t="s">
        <v>54</v>
      </c>
      <c r="F50" s="31">
        <v>150</v>
      </c>
      <c r="G50" s="31" t="s">
        <v>85</v>
      </c>
      <c r="H50" s="32">
        <v>46500</v>
      </c>
      <c r="I50" s="31">
        <v>31</v>
      </c>
      <c r="J50" s="33">
        <v>452.6</v>
      </c>
      <c r="K50" s="33">
        <v>477.4</v>
      </c>
      <c r="L50" s="34" t="s">
        <v>83</v>
      </c>
      <c r="M50" s="165" t="s">
        <v>307</v>
      </c>
    </row>
    <row r="51" spans="1:13" s="1" customFormat="1" ht="27.95" customHeight="1">
      <c r="A51" s="31" t="s">
        <v>51</v>
      </c>
      <c r="B51" s="101" t="s">
        <v>377</v>
      </c>
      <c r="C51" s="31" t="s">
        <v>52</v>
      </c>
      <c r="D51" s="31" t="s">
        <v>113</v>
      </c>
      <c r="E51" s="31" t="s">
        <v>45</v>
      </c>
      <c r="F51" s="31">
        <v>300</v>
      </c>
      <c r="G51" s="31" t="s">
        <v>85</v>
      </c>
      <c r="H51" s="32">
        <v>36000</v>
      </c>
      <c r="I51" s="31">
        <v>20</v>
      </c>
      <c r="J51" s="33">
        <v>364</v>
      </c>
      <c r="K51" s="33">
        <v>382</v>
      </c>
      <c r="L51" s="34" t="s">
        <v>114</v>
      </c>
      <c r="M51" s="165" t="s">
        <v>329</v>
      </c>
    </row>
    <row r="52" spans="1:13" s="1" customFormat="1" ht="27.95" customHeight="1">
      <c r="A52" s="31" t="s">
        <v>115</v>
      </c>
      <c r="B52" s="101" t="s">
        <v>377</v>
      </c>
      <c r="C52" s="31" t="s">
        <v>103</v>
      </c>
      <c r="D52" s="31" t="s">
        <v>116</v>
      </c>
      <c r="E52" s="31" t="s">
        <v>54</v>
      </c>
      <c r="F52" s="31">
        <v>100</v>
      </c>
      <c r="G52" s="31" t="s">
        <v>117</v>
      </c>
      <c r="H52" s="32">
        <v>5000</v>
      </c>
      <c r="I52" s="31">
        <v>10</v>
      </c>
      <c r="J52" s="33">
        <v>134</v>
      </c>
      <c r="K52" s="33">
        <v>139</v>
      </c>
      <c r="L52" s="34" t="s">
        <v>118</v>
      </c>
      <c r="M52" s="165" t="s">
        <v>290</v>
      </c>
    </row>
    <row r="53" spans="1:13" s="1" customFormat="1" ht="27.95" customHeight="1">
      <c r="A53" s="31" t="s">
        <v>51</v>
      </c>
      <c r="B53" s="101" t="s">
        <v>378</v>
      </c>
      <c r="C53" s="31" t="s">
        <v>52</v>
      </c>
      <c r="D53" s="31" t="s">
        <v>119</v>
      </c>
      <c r="E53" s="31" t="s">
        <v>54</v>
      </c>
      <c r="F53" s="31">
        <v>150</v>
      </c>
      <c r="G53" s="31" t="s">
        <v>120</v>
      </c>
      <c r="H53" s="32">
        <v>81000</v>
      </c>
      <c r="I53" s="31">
        <v>54</v>
      </c>
      <c r="J53" s="33">
        <v>745.2</v>
      </c>
      <c r="K53" s="33">
        <v>783</v>
      </c>
      <c r="L53" s="34" t="s">
        <v>72</v>
      </c>
      <c r="M53" s="165" t="s">
        <v>344</v>
      </c>
    </row>
    <row r="54" spans="1:13" s="1" customFormat="1" ht="27.95" customHeight="1">
      <c r="A54" s="31" t="s">
        <v>121</v>
      </c>
      <c r="B54" s="101" t="s">
        <v>378</v>
      </c>
      <c r="C54" s="31" t="s">
        <v>66</v>
      </c>
      <c r="D54" s="31" t="s">
        <v>62</v>
      </c>
      <c r="E54" s="31" t="s">
        <v>54</v>
      </c>
      <c r="F54" s="31">
        <v>50</v>
      </c>
      <c r="G54" s="31" t="s">
        <v>122</v>
      </c>
      <c r="H54" s="32">
        <v>10000</v>
      </c>
      <c r="I54" s="31">
        <v>20</v>
      </c>
      <c r="J54" s="33">
        <v>282</v>
      </c>
      <c r="K54" s="33">
        <v>294</v>
      </c>
      <c r="L54" s="34" t="s">
        <v>106</v>
      </c>
      <c r="M54" s="165" t="s">
        <v>333</v>
      </c>
    </row>
    <row r="55" spans="1:13" s="1" customFormat="1" ht="27.95" customHeight="1">
      <c r="A55" s="31" t="s">
        <v>102</v>
      </c>
      <c r="B55" s="101" t="s">
        <v>379</v>
      </c>
      <c r="C55" s="31" t="s">
        <v>123</v>
      </c>
      <c r="D55" s="31" t="s">
        <v>67</v>
      </c>
      <c r="E55" s="31" t="s">
        <v>104</v>
      </c>
      <c r="F55" s="31">
        <v>50</v>
      </c>
      <c r="G55" s="31" t="s">
        <v>124</v>
      </c>
      <c r="H55" s="32">
        <v>1500</v>
      </c>
      <c r="I55" s="31">
        <v>3</v>
      </c>
      <c r="J55" s="33">
        <v>32.400000000000006</v>
      </c>
      <c r="K55" s="33">
        <v>33.900000000000006</v>
      </c>
      <c r="L55" s="34" t="s">
        <v>125</v>
      </c>
      <c r="M55" s="165" t="s">
        <v>336</v>
      </c>
    </row>
    <row r="56" spans="1:13" s="1" customFormat="1" ht="27.95" customHeight="1">
      <c r="A56" s="31" t="s">
        <v>126</v>
      </c>
      <c r="B56" s="101" t="s">
        <v>127</v>
      </c>
      <c r="C56" s="31" t="s">
        <v>103</v>
      </c>
      <c r="D56" s="31" t="s">
        <v>128</v>
      </c>
      <c r="E56" s="31" t="s">
        <v>54</v>
      </c>
      <c r="F56" s="31">
        <v>50</v>
      </c>
      <c r="G56" s="31" t="s">
        <v>129</v>
      </c>
      <c r="H56" s="32">
        <v>3500</v>
      </c>
      <c r="I56" s="31">
        <v>7</v>
      </c>
      <c r="J56" s="33">
        <v>98</v>
      </c>
      <c r="K56" s="33">
        <v>100.8</v>
      </c>
      <c r="L56" s="34" t="s">
        <v>130</v>
      </c>
      <c r="M56" s="165" t="s">
        <v>358</v>
      </c>
    </row>
    <row r="57" spans="1:13" s="1" customFormat="1" ht="27.95" customHeight="1">
      <c r="A57" s="31" t="s">
        <v>126</v>
      </c>
      <c r="B57" s="101" t="s">
        <v>127</v>
      </c>
      <c r="C57" s="31" t="s">
        <v>103</v>
      </c>
      <c r="D57" s="31" t="s">
        <v>128</v>
      </c>
      <c r="E57" s="31" t="s">
        <v>54</v>
      </c>
      <c r="F57" s="31">
        <v>50</v>
      </c>
      <c r="G57" s="31" t="s">
        <v>129</v>
      </c>
      <c r="H57" s="32">
        <v>350</v>
      </c>
      <c r="I57" s="31">
        <v>1</v>
      </c>
      <c r="J57" s="33">
        <v>9.8000000000000007</v>
      </c>
      <c r="K57" s="33">
        <v>10.199999999999999</v>
      </c>
      <c r="L57" s="34" t="s">
        <v>131</v>
      </c>
      <c r="M57" s="165" t="s">
        <v>358</v>
      </c>
    </row>
    <row r="58" spans="1:13" s="1" customFormat="1" ht="27.95" customHeight="1">
      <c r="A58" s="31" t="s">
        <v>132</v>
      </c>
      <c r="B58" s="101" t="s">
        <v>127</v>
      </c>
      <c r="C58" s="31" t="s">
        <v>133</v>
      </c>
      <c r="D58" s="31" t="s">
        <v>128</v>
      </c>
      <c r="E58" s="31" t="s">
        <v>54</v>
      </c>
      <c r="F58" s="31">
        <v>50</v>
      </c>
      <c r="G58" s="31" t="s">
        <v>134</v>
      </c>
      <c r="H58" s="32">
        <v>9000</v>
      </c>
      <c r="I58" s="31">
        <v>18</v>
      </c>
      <c r="J58" s="33">
        <v>325.8</v>
      </c>
      <c r="K58" s="33">
        <v>334.8</v>
      </c>
      <c r="L58" s="34" t="s">
        <v>135</v>
      </c>
      <c r="M58" s="165" t="s">
        <v>357</v>
      </c>
    </row>
    <row r="59" spans="1:13" s="1" customFormat="1" ht="27.95" customHeight="1">
      <c r="A59" s="31" t="s">
        <v>115</v>
      </c>
      <c r="B59" s="101" t="s">
        <v>380</v>
      </c>
      <c r="C59" s="31" t="s">
        <v>66</v>
      </c>
      <c r="D59" s="31" t="s">
        <v>136</v>
      </c>
      <c r="E59" s="31" t="s">
        <v>54</v>
      </c>
      <c r="F59" s="31">
        <v>100</v>
      </c>
      <c r="G59" s="31" t="s">
        <v>137</v>
      </c>
      <c r="H59" s="32">
        <v>3600</v>
      </c>
      <c r="I59" s="31">
        <v>9</v>
      </c>
      <c r="J59" s="33">
        <v>189</v>
      </c>
      <c r="K59" s="33">
        <v>194.4</v>
      </c>
      <c r="L59" s="34" t="s">
        <v>138</v>
      </c>
      <c r="M59" s="165" t="s">
        <v>302</v>
      </c>
    </row>
    <row r="60" spans="1:13" s="1" customFormat="1" ht="27.95" customHeight="1">
      <c r="A60" s="31" t="s">
        <v>139</v>
      </c>
      <c r="B60" s="101" t="s">
        <v>380</v>
      </c>
      <c r="C60" s="31" t="s">
        <v>103</v>
      </c>
      <c r="D60" s="31" t="s">
        <v>140</v>
      </c>
      <c r="E60" s="31" t="s">
        <v>54</v>
      </c>
      <c r="F60" s="31">
        <v>50</v>
      </c>
      <c r="G60" s="31" t="s">
        <v>141</v>
      </c>
      <c r="H60" s="32">
        <v>2000</v>
      </c>
      <c r="I60" s="31">
        <v>2</v>
      </c>
      <c r="J60" s="33">
        <v>22</v>
      </c>
      <c r="K60" s="33">
        <v>23.2</v>
      </c>
      <c r="L60" s="34" t="s">
        <v>142</v>
      </c>
      <c r="M60" s="165" t="s">
        <v>324</v>
      </c>
    </row>
    <row r="61" spans="1:13" s="1" customFormat="1" ht="27.95" customHeight="1">
      <c r="A61" s="31" t="s">
        <v>139</v>
      </c>
      <c r="B61" s="101" t="s">
        <v>380</v>
      </c>
      <c r="C61" s="31" t="s">
        <v>103</v>
      </c>
      <c r="D61" s="31" t="s">
        <v>140</v>
      </c>
      <c r="E61" s="31" t="s">
        <v>54</v>
      </c>
      <c r="F61" s="31">
        <v>50</v>
      </c>
      <c r="G61" s="31" t="s">
        <v>141</v>
      </c>
      <c r="H61" s="32">
        <v>800</v>
      </c>
      <c r="I61" s="31">
        <v>1</v>
      </c>
      <c r="J61" s="33">
        <v>8.6999999999999993</v>
      </c>
      <c r="K61" s="33">
        <v>9.1999999999999993</v>
      </c>
      <c r="L61" s="34" t="s">
        <v>143</v>
      </c>
      <c r="M61" s="165" t="s">
        <v>324</v>
      </c>
    </row>
    <row r="62" spans="1:13" s="1" customFormat="1" ht="27.95" customHeight="1">
      <c r="A62" s="31" t="s">
        <v>51</v>
      </c>
      <c r="B62" s="101" t="s">
        <v>380</v>
      </c>
      <c r="C62" s="31" t="s">
        <v>52</v>
      </c>
      <c r="D62" s="31" t="s">
        <v>144</v>
      </c>
      <c r="E62" s="31" t="s">
        <v>54</v>
      </c>
      <c r="F62" s="31">
        <v>150</v>
      </c>
      <c r="G62" s="31" t="s">
        <v>145</v>
      </c>
      <c r="H62" s="32">
        <v>81000</v>
      </c>
      <c r="I62" s="31">
        <v>54</v>
      </c>
      <c r="J62" s="33">
        <v>939.59999999999991</v>
      </c>
      <c r="K62" s="33">
        <v>972</v>
      </c>
      <c r="L62" s="34" t="s">
        <v>88</v>
      </c>
      <c r="M62" s="165" t="s">
        <v>297</v>
      </c>
    </row>
    <row r="63" spans="1:13" s="1" customFormat="1" ht="27.95" customHeight="1">
      <c r="A63" s="31" t="s">
        <v>51</v>
      </c>
      <c r="B63" s="101" t="s">
        <v>380</v>
      </c>
      <c r="C63" s="31" t="s">
        <v>52</v>
      </c>
      <c r="D63" s="31" t="s">
        <v>146</v>
      </c>
      <c r="E63" s="31" t="s">
        <v>54</v>
      </c>
      <c r="F63" s="31">
        <v>100</v>
      </c>
      <c r="G63" s="31" t="s">
        <v>147</v>
      </c>
      <c r="H63" s="32">
        <v>32000</v>
      </c>
      <c r="I63" s="31">
        <v>32</v>
      </c>
      <c r="J63" s="33">
        <v>566.4</v>
      </c>
      <c r="K63" s="33">
        <v>592</v>
      </c>
      <c r="L63" s="34" t="s">
        <v>83</v>
      </c>
      <c r="M63" s="165" t="s">
        <v>326</v>
      </c>
    </row>
    <row r="64" spans="1:13" s="1" customFormat="1" ht="27.95" customHeight="1">
      <c r="A64" s="31" t="s">
        <v>139</v>
      </c>
      <c r="B64" s="101" t="s">
        <v>382</v>
      </c>
      <c r="C64" s="31" t="s">
        <v>103</v>
      </c>
      <c r="D64" s="31" t="s">
        <v>67</v>
      </c>
      <c r="E64" s="31" t="s">
        <v>99</v>
      </c>
      <c r="F64" s="31"/>
      <c r="G64" s="31" t="s">
        <v>148</v>
      </c>
      <c r="H64" s="32">
        <v>5000</v>
      </c>
      <c r="I64" s="31">
        <v>5</v>
      </c>
      <c r="J64" s="33">
        <v>47.5</v>
      </c>
      <c r="K64" s="33">
        <v>50.5</v>
      </c>
      <c r="L64" s="34" t="s">
        <v>149</v>
      </c>
      <c r="M64" s="165" t="s">
        <v>325</v>
      </c>
    </row>
    <row r="65" spans="1:13" s="1" customFormat="1" ht="27.95" customHeight="1">
      <c r="A65" s="31" t="s">
        <v>57</v>
      </c>
      <c r="B65" s="101" t="s">
        <v>382</v>
      </c>
      <c r="C65" s="31" t="s">
        <v>58</v>
      </c>
      <c r="D65" s="31" t="s">
        <v>62</v>
      </c>
      <c r="E65" s="31" t="s">
        <v>45</v>
      </c>
      <c r="F65" s="31">
        <v>200</v>
      </c>
      <c r="G65" s="31" t="s">
        <v>60</v>
      </c>
      <c r="H65" s="32">
        <v>24000</v>
      </c>
      <c r="I65" s="31">
        <v>12</v>
      </c>
      <c r="J65" s="33">
        <v>162</v>
      </c>
      <c r="K65" s="33">
        <v>170.39999999999998</v>
      </c>
      <c r="L65" s="34" t="s">
        <v>61</v>
      </c>
      <c r="M65" s="165" t="s">
        <v>291</v>
      </c>
    </row>
    <row r="66" spans="1:13" s="1" customFormat="1" ht="27.95" customHeight="1">
      <c r="A66" s="31" t="s">
        <v>51</v>
      </c>
      <c r="B66" s="101" t="s">
        <v>380</v>
      </c>
      <c r="C66" s="31" t="s">
        <v>52</v>
      </c>
      <c r="D66" s="31" t="s">
        <v>150</v>
      </c>
      <c r="E66" s="31" t="s">
        <v>54</v>
      </c>
      <c r="F66" s="31">
        <v>150</v>
      </c>
      <c r="G66" s="31" t="s">
        <v>151</v>
      </c>
      <c r="H66" s="32">
        <v>16500</v>
      </c>
      <c r="I66" s="31">
        <v>11</v>
      </c>
      <c r="J66" s="33">
        <v>191.39999999999998</v>
      </c>
      <c r="K66" s="33">
        <v>200.2</v>
      </c>
      <c r="L66" s="34" t="s">
        <v>152</v>
      </c>
      <c r="M66" s="165" t="s">
        <v>297</v>
      </c>
    </row>
    <row r="67" spans="1:13" s="1" customFormat="1" ht="27.95" customHeight="1">
      <c r="A67" s="31" t="s">
        <v>51</v>
      </c>
      <c r="B67" s="101" t="s">
        <v>382</v>
      </c>
      <c r="C67" s="31" t="s">
        <v>52</v>
      </c>
      <c r="D67" s="31" t="s">
        <v>153</v>
      </c>
      <c r="E67" s="31" t="s">
        <v>54</v>
      </c>
      <c r="F67" s="31">
        <v>150</v>
      </c>
      <c r="G67" s="31" t="s">
        <v>154</v>
      </c>
      <c r="H67" s="32">
        <v>51000</v>
      </c>
      <c r="I67" s="31">
        <v>34</v>
      </c>
      <c r="J67" s="33">
        <v>527</v>
      </c>
      <c r="K67" s="33">
        <v>557.59999999999991</v>
      </c>
      <c r="L67" s="34" t="s">
        <v>155</v>
      </c>
      <c r="M67" s="165" t="s">
        <v>314</v>
      </c>
    </row>
    <row r="68" spans="1:13" s="1" customFormat="1" ht="27.95" customHeight="1">
      <c r="A68" s="31" t="s">
        <v>51</v>
      </c>
      <c r="B68" s="101" t="s">
        <v>382</v>
      </c>
      <c r="C68" s="31" t="s">
        <v>52</v>
      </c>
      <c r="D68" s="31" t="s">
        <v>113</v>
      </c>
      <c r="E68" s="31" t="s">
        <v>54</v>
      </c>
      <c r="F68" s="31">
        <v>150</v>
      </c>
      <c r="G68" s="31" t="s">
        <v>85</v>
      </c>
      <c r="H68" s="32">
        <v>81000</v>
      </c>
      <c r="I68" s="31">
        <v>54</v>
      </c>
      <c r="J68" s="33">
        <v>793.8</v>
      </c>
      <c r="K68" s="33">
        <v>837</v>
      </c>
      <c r="L68" s="34" t="s">
        <v>83</v>
      </c>
      <c r="M68" s="165" t="s">
        <v>298</v>
      </c>
    </row>
    <row r="69" spans="1:13" s="1" customFormat="1" ht="27.95" customHeight="1">
      <c r="A69" s="31" t="s">
        <v>156</v>
      </c>
      <c r="B69" s="101" t="s">
        <v>157</v>
      </c>
      <c r="C69" s="31" t="s">
        <v>158</v>
      </c>
      <c r="D69" s="31" t="s">
        <v>159</v>
      </c>
      <c r="E69" s="31" t="s">
        <v>54</v>
      </c>
      <c r="F69" s="31">
        <v>50</v>
      </c>
      <c r="G69" s="31" t="s">
        <v>160</v>
      </c>
      <c r="H69" s="32">
        <v>1000</v>
      </c>
      <c r="I69" s="31">
        <v>4</v>
      </c>
      <c r="J69" s="33">
        <v>44</v>
      </c>
      <c r="K69" s="33">
        <v>45.6</v>
      </c>
      <c r="L69" s="34" t="s">
        <v>143</v>
      </c>
      <c r="M69" s="165" t="s">
        <v>315</v>
      </c>
    </row>
    <row r="70" spans="1:13" s="1" customFormat="1" ht="27.95" customHeight="1">
      <c r="A70" s="31" t="s">
        <v>51</v>
      </c>
      <c r="B70" s="101" t="s">
        <v>161</v>
      </c>
      <c r="C70" s="31" t="s">
        <v>52</v>
      </c>
      <c r="D70" s="31" t="s">
        <v>150</v>
      </c>
      <c r="E70" s="31" t="s">
        <v>54</v>
      </c>
      <c r="F70" s="31">
        <v>150</v>
      </c>
      <c r="G70" s="31" t="s">
        <v>151</v>
      </c>
      <c r="H70" s="32">
        <v>22500</v>
      </c>
      <c r="I70" s="31">
        <v>15</v>
      </c>
      <c r="J70" s="33">
        <v>261</v>
      </c>
      <c r="K70" s="33">
        <v>273</v>
      </c>
      <c r="L70" s="34" t="s">
        <v>152</v>
      </c>
      <c r="M70" s="165" t="s">
        <v>343</v>
      </c>
    </row>
    <row r="71" spans="1:13" s="1" customFormat="1" ht="27.95" customHeight="1">
      <c r="A71" s="31" t="s">
        <v>51</v>
      </c>
      <c r="B71" s="101" t="s">
        <v>161</v>
      </c>
      <c r="C71" s="31" t="s">
        <v>52</v>
      </c>
      <c r="D71" s="31" t="s">
        <v>90</v>
      </c>
      <c r="E71" s="31" t="s">
        <v>54</v>
      </c>
      <c r="F71" s="31">
        <v>150</v>
      </c>
      <c r="G71" s="31" t="s">
        <v>91</v>
      </c>
      <c r="H71" s="32">
        <v>10500</v>
      </c>
      <c r="I71" s="31">
        <v>7</v>
      </c>
      <c r="J71" s="33">
        <v>116.20000000000002</v>
      </c>
      <c r="K71" s="33">
        <v>121.79999999999998</v>
      </c>
      <c r="L71" s="34" t="s">
        <v>83</v>
      </c>
      <c r="M71" s="165" t="s">
        <v>331</v>
      </c>
    </row>
    <row r="72" spans="1:13" s="1" customFormat="1" ht="27.95" customHeight="1">
      <c r="A72" s="31" t="s">
        <v>162</v>
      </c>
      <c r="B72" s="101" t="s">
        <v>161</v>
      </c>
      <c r="C72" s="31" t="s">
        <v>158</v>
      </c>
      <c r="D72" s="31" t="s">
        <v>62</v>
      </c>
      <c r="E72" s="31" t="s">
        <v>54</v>
      </c>
      <c r="F72" s="31">
        <v>100</v>
      </c>
      <c r="G72" s="31" t="s">
        <v>163</v>
      </c>
      <c r="H72" s="32">
        <v>3000</v>
      </c>
      <c r="I72" s="31">
        <v>5</v>
      </c>
      <c r="J72" s="33">
        <v>85</v>
      </c>
      <c r="K72" s="33">
        <v>88.5</v>
      </c>
      <c r="L72" s="34" t="s">
        <v>164</v>
      </c>
      <c r="M72" s="165" t="s">
        <v>312</v>
      </c>
    </row>
    <row r="73" spans="1:13" s="1" customFormat="1" ht="27.95" customHeight="1">
      <c r="A73" s="31" t="s">
        <v>162</v>
      </c>
      <c r="B73" s="101" t="s">
        <v>161</v>
      </c>
      <c r="C73" s="31" t="s">
        <v>158</v>
      </c>
      <c r="D73" s="31" t="s">
        <v>62</v>
      </c>
      <c r="E73" s="31" t="s">
        <v>54</v>
      </c>
      <c r="F73" s="31">
        <v>100</v>
      </c>
      <c r="G73" s="31" t="s">
        <v>163</v>
      </c>
      <c r="H73" s="32">
        <v>500</v>
      </c>
      <c r="I73" s="31">
        <v>1</v>
      </c>
      <c r="J73" s="33">
        <v>14.2</v>
      </c>
      <c r="K73" s="33">
        <v>14.9</v>
      </c>
      <c r="L73" s="34" t="s">
        <v>164</v>
      </c>
      <c r="M73" s="165" t="s">
        <v>312</v>
      </c>
    </row>
    <row r="74" spans="1:13" s="1" customFormat="1" ht="27.95" customHeight="1">
      <c r="A74" s="31" t="s">
        <v>165</v>
      </c>
      <c r="B74" s="101" t="s">
        <v>383</v>
      </c>
      <c r="C74" s="31" t="s">
        <v>66</v>
      </c>
      <c r="D74" s="31" t="s">
        <v>62</v>
      </c>
      <c r="E74" s="31" t="s">
        <v>54</v>
      </c>
      <c r="F74" s="31">
        <v>50</v>
      </c>
      <c r="G74" s="31" t="s">
        <v>166</v>
      </c>
      <c r="H74" s="32">
        <v>3000</v>
      </c>
      <c r="I74" s="31">
        <v>6</v>
      </c>
      <c r="J74" s="33">
        <v>116.4</v>
      </c>
      <c r="K74" s="33">
        <v>120</v>
      </c>
      <c r="L74" s="34" t="s">
        <v>106</v>
      </c>
      <c r="M74" s="165" t="s">
        <v>285</v>
      </c>
    </row>
    <row r="75" spans="1:13" s="1" customFormat="1" ht="27.95" customHeight="1">
      <c r="A75" s="31" t="s">
        <v>165</v>
      </c>
      <c r="B75" s="101" t="s">
        <v>383</v>
      </c>
      <c r="C75" s="31" t="s">
        <v>66</v>
      </c>
      <c r="D75" s="31" t="s">
        <v>62</v>
      </c>
      <c r="E75" s="31" t="s">
        <v>54</v>
      </c>
      <c r="F75" s="31">
        <v>50</v>
      </c>
      <c r="G75" s="31" t="s">
        <v>166</v>
      </c>
      <c r="H75" s="32">
        <v>450</v>
      </c>
      <c r="I75" s="31">
        <v>1</v>
      </c>
      <c r="J75" s="33">
        <v>17.399999999999999</v>
      </c>
      <c r="K75" s="33">
        <v>18</v>
      </c>
      <c r="L75" s="34" t="s">
        <v>106</v>
      </c>
      <c r="M75" s="165" t="s">
        <v>285</v>
      </c>
    </row>
    <row r="76" spans="1:13" s="1" customFormat="1" ht="27.95" customHeight="1">
      <c r="A76" s="31" t="s">
        <v>57</v>
      </c>
      <c r="B76" s="101" t="s">
        <v>167</v>
      </c>
      <c r="C76" s="31" t="s">
        <v>168</v>
      </c>
      <c r="D76" s="31" t="s">
        <v>169</v>
      </c>
      <c r="E76" s="31" t="s">
        <v>45</v>
      </c>
      <c r="F76" s="31">
        <v>150</v>
      </c>
      <c r="G76" s="31" t="s">
        <v>170</v>
      </c>
      <c r="H76" s="32">
        <v>1500</v>
      </c>
      <c r="I76" s="31">
        <v>1</v>
      </c>
      <c r="J76" s="33">
        <v>10.8</v>
      </c>
      <c r="K76" s="33">
        <v>11.5</v>
      </c>
      <c r="L76" s="34" t="s">
        <v>61</v>
      </c>
      <c r="M76" s="165" t="s">
        <v>366</v>
      </c>
    </row>
    <row r="77" spans="1:13" s="1" customFormat="1" ht="27.95" customHeight="1">
      <c r="A77" s="31" t="s">
        <v>57</v>
      </c>
      <c r="B77" s="101" t="s">
        <v>167</v>
      </c>
      <c r="C77" s="31" t="s">
        <v>168</v>
      </c>
      <c r="D77" s="31" t="s">
        <v>59</v>
      </c>
      <c r="E77" s="31" t="s">
        <v>45</v>
      </c>
      <c r="F77" s="31">
        <v>150</v>
      </c>
      <c r="G77" s="31" t="s">
        <v>170</v>
      </c>
      <c r="H77" s="32">
        <v>6000</v>
      </c>
      <c r="I77" s="31">
        <v>4</v>
      </c>
      <c r="J77" s="33">
        <v>44</v>
      </c>
      <c r="K77" s="33">
        <v>46.8</v>
      </c>
      <c r="L77" s="34" t="s">
        <v>61</v>
      </c>
      <c r="M77" s="165" t="s">
        <v>289</v>
      </c>
    </row>
    <row r="78" spans="1:13" s="1" customFormat="1" ht="27.95" customHeight="1">
      <c r="A78" s="31" t="s">
        <v>51</v>
      </c>
      <c r="B78" s="101" t="s">
        <v>171</v>
      </c>
      <c r="C78" s="31" t="s">
        <v>52</v>
      </c>
      <c r="D78" s="31" t="s">
        <v>172</v>
      </c>
      <c r="E78" s="31" t="s">
        <v>54</v>
      </c>
      <c r="F78" s="31">
        <v>150</v>
      </c>
      <c r="G78" s="31" t="s">
        <v>173</v>
      </c>
      <c r="H78" s="32">
        <v>21000</v>
      </c>
      <c r="I78" s="31">
        <v>14</v>
      </c>
      <c r="J78" s="33">
        <v>180.6</v>
      </c>
      <c r="K78" s="33">
        <v>190.4</v>
      </c>
      <c r="L78" s="34" t="s">
        <v>92</v>
      </c>
      <c r="M78" s="165" t="s">
        <v>354</v>
      </c>
    </row>
    <row r="79" spans="1:13" s="1" customFormat="1" ht="27.95" customHeight="1">
      <c r="A79" s="31" t="s">
        <v>57</v>
      </c>
      <c r="B79" s="101" t="s">
        <v>174</v>
      </c>
      <c r="C79" s="31" t="s">
        <v>58</v>
      </c>
      <c r="D79" s="31" t="s">
        <v>175</v>
      </c>
      <c r="E79" s="31" t="s">
        <v>45</v>
      </c>
      <c r="F79" s="31">
        <v>200</v>
      </c>
      <c r="G79" s="31" t="s">
        <v>60</v>
      </c>
      <c r="H79" s="32">
        <v>6000</v>
      </c>
      <c r="I79" s="31">
        <v>3</v>
      </c>
      <c r="J79" s="33">
        <v>40.799999999999997</v>
      </c>
      <c r="K79" s="33">
        <v>42.900000000000006</v>
      </c>
      <c r="L79" s="34" t="s">
        <v>61</v>
      </c>
      <c r="M79" s="165" t="s">
        <v>348</v>
      </c>
    </row>
    <row r="80" spans="1:13" s="1" customFormat="1" ht="27.95" customHeight="1">
      <c r="A80" s="31" t="s">
        <v>51</v>
      </c>
      <c r="B80" s="101" t="s">
        <v>176</v>
      </c>
      <c r="C80" s="31" t="s">
        <v>52</v>
      </c>
      <c r="D80" s="31" t="s">
        <v>177</v>
      </c>
      <c r="E80" s="31" t="s">
        <v>54</v>
      </c>
      <c r="F80" s="31">
        <v>150</v>
      </c>
      <c r="G80" s="31" t="s">
        <v>178</v>
      </c>
      <c r="H80" s="32">
        <v>9000</v>
      </c>
      <c r="I80" s="31">
        <v>6</v>
      </c>
      <c r="J80" s="33">
        <v>138.60000000000002</v>
      </c>
      <c r="K80" s="33">
        <v>143.39999999999998</v>
      </c>
      <c r="L80" s="34" t="s">
        <v>179</v>
      </c>
      <c r="M80" s="165" t="s">
        <v>345</v>
      </c>
    </row>
    <row r="81" spans="1:13" s="1" customFormat="1" ht="27.95" customHeight="1">
      <c r="A81" s="31" t="s">
        <v>51</v>
      </c>
      <c r="B81" s="101" t="s">
        <v>176</v>
      </c>
      <c r="C81" s="31" t="s">
        <v>52</v>
      </c>
      <c r="D81" s="31" t="s">
        <v>177</v>
      </c>
      <c r="E81" s="31" t="s">
        <v>54</v>
      </c>
      <c r="F81" s="31">
        <v>150</v>
      </c>
      <c r="G81" s="31" t="s">
        <v>178</v>
      </c>
      <c r="H81" s="32">
        <v>1200</v>
      </c>
      <c r="I81" s="31">
        <v>1</v>
      </c>
      <c r="J81" s="33">
        <v>18.5</v>
      </c>
      <c r="K81" s="33">
        <v>19.2</v>
      </c>
      <c r="L81" s="34" t="s">
        <v>180</v>
      </c>
      <c r="M81" s="165" t="s">
        <v>345</v>
      </c>
    </row>
    <row r="82" spans="1:13" s="1" customFormat="1" ht="27.95" customHeight="1">
      <c r="A82" s="31" t="s">
        <v>181</v>
      </c>
      <c r="B82" s="101" t="s">
        <v>385</v>
      </c>
      <c r="C82" s="31" t="s">
        <v>182</v>
      </c>
      <c r="D82" s="31" t="s">
        <v>67</v>
      </c>
      <c r="E82" s="31" t="s">
        <v>45</v>
      </c>
      <c r="F82" s="31">
        <v>100</v>
      </c>
      <c r="G82" s="31" t="s">
        <v>183</v>
      </c>
      <c r="H82" s="32">
        <v>3000</v>
      </c>
      <c r="I82" s="31">
        <v>3</v>
      </c>
      <c r="J82" s="33">
        <v>21</v>
      </c>
      <c r="K82" s="33">
        <v>22.5</v>
      </c>
      <c r="L82" s="34" t="s">
        <v>184</v>
      </c>
      <c r="M82" s="165" t="s">
        <v>335</v>
      </c>
    </row>
    <row r="83" spans="1:13" s="1" customFormat="1" ht="27.95" customHeight="1">
      <c r="A83" s="31" t="s">
        <v>181</v>
      </c>
      <c r="B83" s="101" t="s">
        <v>385</v>
      </c>
      <c r="C83" s="31" t="s">
        <v>182</v>
      </c>
      <c r="D83" s="31" t="s">
        <v>67</v>
      </c>
      <c r="E83" s="31" t="s">
        <v>45</v>
      </c>
      <c r="F83" s="31">
        <v>100</v>
      </c>
      <c r="G83" s="31" t="s">
        <v>183</v>
      </c>
      <c r="H83" s="32">
        <v>1200</v>
      </c>
      <c r="I83" s="31">
        <v>1</v>
      </c>
      <c r="J83" s="33">
        <v>8.4</v>
      </c>
      <c r="K83" s="33">
        <v>8.9</v>
      </c>
      <c r="L83" s="34" t="s">
        <v>184</v>
      </c>
      <c r="M83" s="165" t="s">
        <v>335</v>
      </c>
    </row>
    <row r="84" spans="1:13" s="1" customFormat="1" ht="27.95" customHeight="1">
      <c r="A84" s="31" t="s">
        <v>57</v>
      </c>
      <c r="B84" s="101" t="s">
        <v>385</v>
      </c>
      <c r="C84" s="31" t="s">
        <v>58</v>
      </c>
      <c r="D84" s="31" t="s">
        <v>185</v>
      </c>
      <c r="E84" s="31" t="s">
        <v>45</v>
      </c>
      <c r="F84" s="31">
        <v>200</v>
      </c>
      <c r="G84" s="31" t="s">
        <v>60</v>
      </c>
      <c r="H84" s="32">
        <v>2000</v>
      </c>
      <c r="I84" s="31">
        <v>1</v>
      </c>
      <c r="J84" s="33">
        <v>13.5</v>
      </c>
      <c r="K84" s="33">
        <v>14.2</v>
      </c>
      <c r="L84" s="34" t="s">
        <v>61</v>
      </c>
      <c r="M84" s="165" t="s">
        <v>330</v>
      </c>
    </row>
    <row r="85" spans="1:13" s="1" customFormat="1" ht="27.95" customHeight="1">
      <c r="A85" s="31" t="s">
        <v>186</v>
      </c>
      <c r="B85" s="101" t="s">
        <v>385</v>
      </c>
      <c r="C85" s="31" t="s">
        <v>187</v>
      </c>
      <c r="D85" s="31" t="s">
        <v>62</v>
      </c>
      <c r="E85" s="31" t="s">
        <v>54</v>
      </c>
      <c r="F85" s="31">
        <v>50</v>
      </c>
      <c r="G85" s="31" t="s">
        <v>188</v>
      </c>
      <c r="H85" s="32">
        <v>1500</v>
      </c>
      <c r="I85" s="31">
        <v>3</v>
      </c>
      <c r="J85" s="33">
        <v>33.900000000000006</v>
      </c>
      <c r="K85" s="33">
        <v>35.700000000000003</v>
      </c>
      <c r="L85" s="34" t="s">
        <v>189</v>
      </c>
      <c r="M85" s="165" t="s">
        <v>188</v>
      </c>
    </row>
    <row r="86" spans="1:13" s="1" customFormat="1" ht="27.95" customHeight="1">
      <c r="A86" s="31" t="s">
        <v>186</v>
      </c>
      <c r="B86" s="101" t="s">
        <v>385</v>
      </c>
      <c r="C86" s="31" t="s">
        <v>187</v>
      </c>
      <c r="D86" s="31" t="s">
        <v>62</v>
      </c>
      <c r="E86" s="31" t="s">
        <v>54</v>
      </c>
      <c r="F86" s="31">
        <v>50</v>
      </c>
      <c r="G86" s="31" t="s">
        <v>188</v>
      </c>
      <c r="H86" s="32">
        <v>450</v>
      </c>
      <c r="I86" s="31">
        <v>1</v>
      </c>
      <c r="J86" s="33">
        <v>10.1</v>
      </c>
      <c r="K86" s="33">
        <v>10.7</v>
      </c>
      <c r="L86" s="34" t="s">
        <v>138</v>
      </c>
      <c r="M86" s="165" t="s">
        <v>188</v>
      </c>
    </row>
    <row r="87" spans="1:13" s="1" customFormat="1" ht="27.95" customHeight="1">
      <c r="A87" s="31" t="s">
        <v>190</v>
      </c>
      <c r="B87" s="101" t="s">
        <v>385</v>
      </c>
      <c r="C87" s="31" t="s">
        <v>191</v>
      </c>
      <c r="D87" s="31" t="s">
        <v>192</v>
      </c>
      <c r="E87" s="31" t="s">
        <v>45</v>
      </c>
      <c r="F87" s="31">
        <v>100</v>
      </c>
      <c r="G87" s="31" t="s">
        <v>193</v>
      </c>
      <c r="H87" s="32">
        <v>2000</v>
      </c>
      <c r="I87" s="31">
        <v>2</v>
      </c>
      <c r="J87" s="33">
        <v>14.6</v>
      </c>
      <c r="K87" s="33">
        <v>16.2</v>
      </c>
      <c r="L87" s="34" t="s">
        <v>194</v>
      </c>
      <c r="M87" s="165" t="s">
        <v>309</v>
      </c>
    </row>
    <row r="88" spans="1:13" s="1" customFormat="1" ht="27.95" customHeight="1">
      <c r="A88" s="31" t="s">
        <v>51</v>
      </c>
      <c r="B88" s="101" t="s">
        <v>385</v>
      </c>
      <c r="C88" s="31" t="s">
        <v>52</v>
      </c>
      <c r="D88" s="31" t="s">
        <v>195</v>
      </c>
      <c r="E88" s="31" t="s">
        <v>54</v>
      </c>
      <c r="F88" s="31">
        <v>100</v>
      </c>
      <c r="G88" s="31" t="s">
        <v>55</v>
      </c>
      <c r="H88" s="32">
        <v>11000</v>
      </c>
      <c r="I88" s="31">
        <v>11</v>
      </c>
      <c r="J88" s="33">
        <v>159.5</v>
      </c>
      <c r="K88" s="33">
        <v>167.2</v>
      </c>
      <c r="L88" s="34" t="s">
        <v>56</v>
      </c>
      <c r="M88" s="165" t="s">
        <v>286</v>
      </c>
    </row>
    <row r="89" spans="1:13" s="1" customFormat="1" ht="27.95" customHeight="1">
      <c r="A89" s="31" t="s">
        <v>51</v>
      </c>
      <c r="B89" s="101" t="s">
        <v>196</v>
      </c>
      <c r="C89" s="31" t="s">
        <v>52</v>
      </c>
      <c r="D89" s="31" t="s">
        <v>197</v>
      </c>
      <c r="E89" s="31" t="s">
        <v>99</v>
      </c>
      <c r="F89" s="31"/>
      <c r="G89" s="31" t="s">
        <v>198</v>
      </c>
      <c r="H89" s="32">
        <v>44000</v>
      </c>
      <c r="I89" s="31">
        <v>22</v>
      </c>
      <c r="J89" s="33">
        <v>382.79999999999995</v>
      </c>
      <c r="K89" s="33">
        <v>402.6</v>
      </c>
      <c r="L89" s="34" t="s">
        <v>199</v>
      </c>
      <c r="M89" s="165" t="s">
        <v>350</v>
      </c>
    </row>
    <row r="90" spans="1:13" s="1" customFormat="1" ht="27.95" customHeight="1">
      <c r="A90" s="31" t="s">
        <v>200</v>
      </c>
      <c r="B90" s="101" t="s">
        <v>384</v>
      </c>
      <c r="C90" s="31" t="s">
        <v>123</v>
      </c>
      <c r="D90" s="31" t="s">
        <v>67</v>
      </c>
      <c r="E90" s="31" t="s">
        <v>99</v>
      </c>
      <c r="F90" s="31"/>
      <c r="G90" s="31" t="s">
        <v>201</v>
      </c>
      <c r="H90" s="32">
        <v>6000</v>
      </c>
      <c r="I90" s="31">
        <v>12</v>
      </c>
      <c r="J90" s="33">
        <v>145.19999999999999</v>
      </c>
      <c r="K90" s="33">
        <v>158.39999999999998</v>
      </c>
      <c r="L90" s="34" t="s">
        <v>202</v>
      </c>
      <c r="M90" s="165" t="s">
        <v>295</v>
      </c>
    </row>
    <row r="91" spans="1:13" s="1" customFormat="1" ht="27.95" customHeight="1">
      <c r="A91" s="31" t="s">
        <v>203</v>
      </c>
      <c r="B91" s="101" t="s">
        <v>384</v>
      </c>
      <c r="C91" s="31" t="s">
        <v>77</v>
      </c>
      <c r="D91" s="31" t="s">
        <v>67</v>
      </c>
      <c r="E91" s="31" t="s">
        <v>45</v>
      </c>
      <c r="F91" s="31">
        <v>100</v>
      </c>
      <c r="G91" s="31" t="s">
        <v>204</v>
      </c>
      <c r="H91" s="32">
        <v>18000</v>
      </c>
      <c r="I91" s="31">
        <v>18</v>
      </c>
      <c r="J91" s="33">
        <v>230.4</v>
      </c>
      <c r="K91" s="33">
        <v>243</v>
      </c>
      <c r="L91" s="34" t="s">
        <v>61</v>
      </c>
      <c r="M91" s="165" t="s">
        <v>294</v>
      </c>
    </row>
    <row r="92" spans="1:13" s="1" customFormat="1" ht="27.95" customHeight="1">
      <c r="A92" s="31" t="s">
        <v>203</v>
      </c>
      <c r="B92" s="101" t="s">
        <v>384</v>
      </c>
      <c r="C92" s="31" t="s">
        <v>77</v>
      </c>
      <c r="D92" s="31" t="s">
        <v>67</v>
      </c>
      <c r="E92" s="31" t="s">
        <v>45</v>
      </c>
      <c r="F92" s="31">
        <v>100</v>
      </c>
      <c r="G92" s="31" t="s">
        <v>204</v>
      </c>
      <c r="H92" s="32">
        <v>910</v>
      </c>
      <c r="I92" s="31">
        <v>1</v>
      </c>
      <c r="J92" s="33">
        <v>11.9</v>
      </c>
      <c r="K92" s="33">
        <v>12.6</v>
      </c>
      <c r="L92" s="34" t="s">
        <v>61</v>
      </c>
      <c r="M92" s="165" t="s">
        <v>294</v>
      </c>
    </row>
    <row r="93" spans="1:13" s="1" customFormat="1" ht="27.95" customHeight="1">
      <c r="A93" s="31" t="s">
        <v>203</v>
      </c>
      <c r="B93" s="101" t="s">
        <v>384</v>
      </c>
      <c r="C93" s="31" t="s">
        <v>77</v>
      </c>
      <c r="D93" s="31" t="s">
        <v>67</v>
      </c>
      <c r="E93" s="31" t="s">
        <v>45</v>
      </c>
      <c r="F93" s="31">
        <v>100</v>
      </c>
      <c r="G93" s="31" t="s">
        <v>204</v>
      </c>
      <c r="H93" s="32">
        <v>790</v>
      </c>
      <c r="I93" s="31">
        <v>1</v>
      </c>
      <c r="J93" s="33">
        <v>10.4</v>
      </c>
      <c r="K93" s="33">
        <v>11</v>
      </c>
      <c r="L93" s="34" t="s">
        <v>61</v>
      </c>
      <c r="M93" s="165" t="s">
        <v>294</v>
      </c>
    </row>
    <row r="94" spans="1:13" s="1" customFormat="1" ht="27.95" customHeight="1">
      <c r="A94" s="31" t="s">
        <v>203</v>
      </c>
      <c r="B94" s="101" t="s">
        <v>384</v>
      </c>
      <c r="C94" s="31" t="s">
        <v>77</v>
      </c>
      <c r="D94" s="31" t="s">
        <v>67</v>
      </c>
      <c r="E94" s="31" t="s">
        <v>45</v>
      </c>
      <c r="F94" s="31">
        <v>100</v>
      </c>
      <c r="G94" s="31" t="s">
        <v>204</v>
      </c>
      <c r="H94" s="32">
        <v>600</v>
      </c>
      <c r="I94" s="31">
        <v>1</v>
      </c>
      <c r="J94" s="33">
        <v>8.1</v>
      </c>
      <c r="K94" s="33">
        <v>8.8000000000000007</v>
      </c>
      <c r="L94" s="34" t="s">
        <v>61</v>
      </c>
      <c r="M94" s="165" t="s">
        <v>294</v>
      </c>
    </row>
    <row r="95" spans="1:13" s="1" customFormat="1" ht="27.95" customHeight="1">
      <c r="A95" s="31" t="s">
        <v>203</v>
      </c>
      <c r="B95" s="101" t="s">
        <v>384</v>
      </c>
      <c r="C95" s="31" t="s">
        <v>77</v>
      </c>
      <c r="D95" s="31" t="s">
        <v>67</v>
      </c>
      <c r="E95" s="31" t="s">
        <v>45</v>
      </c>
      <c r="F95" s="31">
        <v>100</v>
      </c>
      <c r="G95" s="31" t="s">
        <v>204</v>
      </c>
      <c r="H95" s="32">
        <v>560</v>
      </c>
      <c r="I95" s="31">
        <v>1</v>
      </c>
      <c r="J95" s="33">
        <v>7.6</v>
      </c>
      <c r="K95" s="33">
        <v>8.3000000000000007</v>
      </c>
      <c r="L95" s="34" t="s">
        <v>61</v>
      </c>
      <c r="M95" s="165" t="s">
        <v>294</v>
      </c>
    </row>
    <row r="96" spans="1:13" s="1" customFormat="1" ht="27.95" customHeight="1">
      <c r="A96" s="31" t="s">
        <v>51</v>
      </c>
      <c r="B96" s="101" t="s">
        <v>384</v>
      </c>
      <c r="C96" s="31" t="s">
        <v>58</v>
      </c>
      <c r="D96" s="31" t="s">
        <v>205</v>
      </c>
      <c r="E96" s="31" t="s">
        <v>54</v>
      </c>
      <c r="F96" s="31">
        <v>150</v>
      </c>
      <c r="G96" s="31" t="s">
        <v>206</v>
      </c>
      <c r="H96" s="32">
        <v>18000</v>
      </c>
      <c r="I96" s="31">
        <v>6</v>
      </c>
      <c r="J96" s="33">
        <v>99.6</v>
      </c>
      <c r="K96" s="33">
        <v>103.80000000000001</v>
      </c>
      <c r="L96" s="34" t="s">
        <v>207</v>
      </c>
      <c r="M96" s="165" t="s">
        <v>334</v>
      </c>
    </row>
    <row r="97" spans="1:13" s="1" customFormat="1" ht="27.95" customHeight="1">
      <c r="A97" s="31" t="s">
        <v>51</v>
      </c>
      <c r="B97" s="101" t="s">
        <v>384</v>
      </c>
      <c r="C97" s="31" t="s">
        <v>58</v>
      </c>
      <c r="D97" s="31" t="s">
        <v>205</v>
      </c>
      <c r="E97" s="31" t="s">
        <v>54</v>
      </c>
      <c r="F97" s="31">
        <v>150</v>
      </c>
      <c r="G97" s="31" t="s">
        <v>206</v>
      </c>
      <c r="H97" s="32">
        <v>1200</v>
      </c>
      <c r="I97" s="31">
        <v>1</v>
      </c>
      <c r="J97" s="33">
        <v>6.7</v>
      </c>
      <c r="K97" s="33">
        <v>7.1</v>
      </c>
      <c r="L97" s="34" t="s">
        <v>208</v>
      </c>
      <c r="M97" s="165" t="s">
        <v>334</v>
      </c>
    </row>
    <row r="98" spans="1:13" s="1" customFormat="1" ht="27.95" customHeight="1">
      <c r="A98" s="31" t="s">
        <v>51</v>
      </c>
      <c r="B98" s="101" t="s">
        <v>384</v>
      </c>
      <c r="C98" s="31" t="s">
        <v>52</v>
      </c>
      <c r="D98" s="31" t="s">
        <v>209</v>
      </c>
      <c r="E98" s="31" t="s">
        <v>54</v>
      </c>
      <c r="F98" s="31">
        <v>150</v>
      </c>
      <c r="G98" s="31" t="s">
        <v>210</v>
      </c>
      <c r="H98" s="32">
        <v>162000</v>
      </c>
      <c r="I98" s="31">
        <v>108</v>
      </c>
      <c r="J98" s="33">
        <v>2095.1999999999998</v>
      </c>
      <c r="K98" s="33">
        <v>2257.1999999999998</v>
      </c>
      <c r="L98" s="34" t="s">
        <v>155</v>
      </c>
      <c r="M98" s="165" t="s">
        <v>355</v>
      </c>
    </row>
    <row r="99" spans="1:13" s="1" customFormat="1" ht="27.95" customHeight="1">
      <c r="A99" s="31" t="s">
        <v>139</v>
      </c>
      <c r="B99" s="101" t="s">
        <v>387</v>
      </c>
      <c r="C99" s="31" t="s">
        <v>103</v>
      </c>
      <c r="D99" s="31" t="s">
        <v>211</v>
      </c>
      <c r="E99" s="31" t="s">
        <v>54</v>
      </c>
      <c r="F99" s="31">
        <v>50</v>
      </c>
      <c r="G99" s="31" t="s">
        <v>141</v>
      </c>
      <c r="H99" s="32">
        <v>1000</v>
      </c>
      <c r="I99" s="31">
        <v>1</v>
      </c>
      <c r="J99" s="33">
        <v>10.8</v>
      </c>
      <c r="K99" s="33">
        <v>11.4</v>
      </c>
      <c r="L99" s="34" t="s">
        <v>142</v>
      </c>
      <c r="M99" s="165" t="s">
        <v>323</v>
      </c>
    </row>
    <row r="100" spans="1:13" s="1" customFormat="1" ht="27.95" customHeight="1">
      <c r="A100" s="31" t="s">
        <v>139</v>
      </c>
      <c r="B100" s="101" t="s">
        <v>387</v>
      </c>
      <c r="C100" s="31" t="s">
        <v>103</v>
      </c>
      <c r="D100" s="31" t="s">
        <v>211</v>
      </c>
      <c r="E100" s="31" t="s">
        <v>54</v>
      </c>
      <c r="F100" s="31">
        <v>50</v>
      </c>
      <c r="G100" s="31" t="s">
        <v>141</v>
      </c>
      <c r="H100" s="32">
        <v>1200</v>
      </c>
      <c r="I100" s="31">
        <v>1</v>
      </c>
      <c r="J100" s="33">
        <v>13.1</v>
      </c>
      <c r="K100" s="33">
        <v>13.7</v>
      </c>
      <c r="L100" s="34" t="s">
        <v>212</v>
      </c>
      <c r="M100" s="165" t="s">
        <v>323</v>
      </c>
    </row>
    <row r="101" spans="1:13" s="1" customFormat="1" ht="27.95" customHeight="1">
      <c r="A101" s="31" t="s">
        <v>139</v>
      </c>
      <c r="B101" s="101" t="s">
        <v>387</v>
      </c>
      <c r="C101" s="31" t="s">
        <v>133</v>
      </c>
      <c r="D101" s="31" t="s">
        <v>67</v>
      </c>
      <c r="E101" s="31" t="s">
        <v>54</v>
      </c>
      <c r="F101" s="31">
        <v>50</v>
      </c>
      <c r="G101" s="31" t="s">
        <v>213</v>
      </c>
      <c r="H101" s="32">
        <v>11000</v>
      </c>
      <c r="I101" s="31">
        <v>11</v>
      </c>
      <c r="J101" s="33">
        <v>149.6</v>
      </c>
      <c r="K101" s="33">
        <v>156.19999999999999</v>
      </c>
      <c r="L101" s="34" t="s">
        <v>214</v>
      </c>
      <c r="M101" s="165" t="s">
        <v>337</v>
      </c>
    </row>
    <row r="102" spans="1:13" s="1" customFormat="1" ht="27.95" customHeight="1">
      <c r="A102" s="31" t="s">
        <v>102</v>
      </c>
      <c r="B102" s="101" t="s">
        <v>387</v>
      </c>
      <c r="C102" s="31" t="s">
        <v>133</v>
      </c>
      <c r="D102" s="31" t="s">
        <v>62</v>
      </c>
      <c r="E102" s="31" t="s">
        <v>104</v>
      </c>
      <c r="F102" s="31">
        <v>50</v>
      </c>
      <c r="G102" s="31" t="s">
        <v>215</v>
      </c>
      <c r="H102" s="32">
        <v>2000</v>
      </c>
      <c r="I102" s="31">
        <v>2</v>
      </c>
      <c r="J102" s="33">
        <v>34.799999999999997</v>
      </c>
      <c r="K102" s="33">
        <v>36</v>
      </c>
      <c r="L102" s="34" t="s">
        <v>216</v>
      </c>
      <c r="M102" s="165" t="s">
        <v>288</v>
      </c>
    </row>
    <row r="103" spans="1:13" s="1" customFormat="1" ht="27.95" customHeight="1">
      <c r="A103" s="31" t="s">
        <v>57</v>
      </c>
      <c r="B103" s="101" t="s">
        <v>387</v>
      </c>
      <c r="C103" s="31" t="s">
        <v>217</v>
      </c>
      <c r="D103" s="31" t="s">
        <v>62</v>
      </c>
      <c r="E103" s="31" t="s">
        <v>45</v>
      </c>
      <c r="F103" s="31">
        <v>200</v>
      </c>
      <c r="G103" s="31" t="s">
        <v>218</v>
      </c>
      <c r="H103" s="32">
        <v>32000</v>
      </c>
      <c r="I103" s="31">
        <v>16</v>
      </c>
      <c r="J103" s="33">
        <v>163.19999999999999</v>
      </c>
      <c r="K103" s="33">
        <v>174.4</v>
      </c>
      <c r="L103" s="34" t="s">
        <v>61</v>
      </c>
      <c r="M103" s="165" t="s">
        <v>356</v>
      </c>
    </row>
    <row r="104" spans="1:13" s="1" customFormat="1" ht="27.95" customHeight="1">
      <c r="A104" s="31" t="s">
        <v>51</v>
      </c>
      <c r="B104" s="101" t="s">
        <v>387</v>
      </c>
      <c r="C104" s="31" t="s">
        <v>52</v>
      </c>
      <c r="D104" s="31" t="s">
        <v>219</v>
      </c>
      <c r="E104" s="31" t="s">
        <v>54</v>
      </c>
      <c r="F104" s="31"/>
      <c r="G104" s="31" t="s">
        <v>220</v>
      </c>
      <c r="H104" s="32">
        <v>16500</v>
      </c>
      <c r="I104" s="31">
        <v>11</v>
      </c>
      <c r="J104" s="33">
        <v>154</v>
      </c>
      <c r="K104" s="33">
        <v>161.69999999999999</v>
      </c>
      <c r="L104" s="34" t="s">
        <v>56</v>
      </c>
      <c r="M104" s="165" t="s">
        <v>287</v>
      </c>
    </row>
    <row r="105" spans="1:13" s="1" customFormat="1" ht="27.95" customHeight="1">
      <c r="A105" s="31" t="s">
        <v>121</v>
      </c>
      <c r="B105" s="101" t="s">
        <v>387</v>
      </c>
      <c r="C105" s="31" t="s">
        <v>123</v>
      </c>
      <c r="D105" s="31" t="s">
        <v>62</v>
      </c>
      <c r="E105" s="31" t="s">
        <v>54</v>
      </c>
      <c r="F105" s="31">
        <v>50</v>
      </c>
      <c r="G105" s="31" t="s">
        <v>221</v>
      </c>
      <c r="H105" s="32">
        <v>6000</v>
      </c>
      <c r="I105" s="31">
        <v>12</v>
      </c>
      <c r="J105" s="33">
        <v>130.80000000000001</v>
      </c>
      <c r="K105" s="33">
        <v>138</v>
      </c>
      <c r="L105" s="34" t="s">
        <v>125</v>
      </c>
      <c r="M105" s="165" t="s">
        <v>339</v>
      </c>
    </row>
    <row r="106" spans="1:13" s="1" customFormat="1" ht="27.95" customHeight="1">
      <c r="A106" s="31" t="s">
        <v>51</v>
      </c>
      <c r="B106" s="101" t="s">
        <v>222</v>
      </c>
      <c r="C106" s="31" t="s">
        <v>52</v>
      </c>
      <c r="D106" s="31" t="s">
        <v>223</v>
      </c>
      <c r="E106" s="31" t="s">
        <v>99</v>
      </c>
      <c r="F106" s="31"/>
      <c r="G106" s="31" t="s">
        <v>198</v>
      </c>
      <c r="H106" s="32">
        <v>14000</v>
      </c>
      <c r="I106" s="31">
        <v>7</v>
      </c>
      <c r="J106" s="33">
        <v>126</v>
      </c>
      <c r="K106" s="33">
        <v>131.6</v>
      </c>
      <c r="L106" s="34" t="s">
        <v>224</v>
      </c>
      <c r="M106" s="165" t="s">
        <v>367</v>
      </c>
    </row>
    <row r="107" spans="1:13" s="1" customFormat="1" ht="27.95" customHeight="1">
      <c r="A107" s="31" t="s">
        <v>115</v>
      </c>
      <c r="B107" s="101" t="s">
        <v>388</v>
      </c>
      <c r="C107" s="31" t="s">
        <v>66</v>
      </c>
      <c r="D107" s="31" t="s">
        <v>136</v>
      </c>
      <c r="E107" s="31" t="s">
        <v>54</v>
      </c>
      <c r="F107" s="31">
        <v>100</v>
      </c>
      <c r="G107" s="31" t="s">
        <v>137</v>
      </c>
      <c r="H107" s="32">
        <v>2000</v>
      </c>
      <c r="I107" s="31">
        <v>5</v>
      </c>
      <c r="J107" s="33">
        <v>104.5</v>
      </c>
      <c r="K107" s="33">
        <v>107.5</v>
      </c>
      <c r="L107" s="34" t="s">
        <v>138</v>
      </c>
      <c r="M107" s="165" t="s">
        <v>302</v>
      </c>
    </row>
    <row r="108" spans="1:13" s="1" customFormat="1" ht="27.95" customHeight="1">
      <c r="A108" s="31" t="s">
        <v>225</v>
      </c>
      <c r="B108" s="101" t="s">
        <v>283</v>
      </c>
      <c r="C108" s="31" t="s">
        <v>103</v>
      </c>
      <c r="D108" s="31" t="s">
        <v>62</v>
      </c>
      <c r="E108" s="31" t="s">
        <v>54</v>
      </c>
      <c r="F108" s="31">
        <v>50</v>
      </c>
      <c r="G108" s="31" t="s">
        <v>226</v>
      </c>
      <c r="H108" s="32">
        <v>2000</v>
      </c>
      <c r="I108" s="31">
        <v>2</v>
      </c>
      <c r="J108" s="33">
        <v>16.399999999999999</v>
      </c>
      <c r="K108" s="33">
        <v>17.399999999999999</v>
      </c>
      <c r="L108" s="34" t="s">
        <v>227</v>
      </c>
      <c r="M108" s="165" t="s">
        <v>349</v>
      </c>
    </row>
    <row r="109" spans="1:13" s="1" customFormat="1" ht="27.95" customHeight="1">
      <c r="A109" s="31" t="s">
        <v>225</v>
      </c>
      <c r="B109" s="101" t="s">
        <v>283</v>
      </c>
      <c r="C109" s="31" t="s">
        <v>103</v>
      </c>
      <c r="D109" s="31" t="s">
        <v>62</v>
      </c>
      <c r="E109" s="31" t="s">
        <v>54</v>
      </c>
      <c r="F109" s="31">
        <v>50</v>
      </c>
      <c r="G109" s="31" t="s">
        <v>226</v>
      </c>
      <c r="H109" s="32">
        <v>1500</v>
      </c>
      <c r="I109" s="31">
        <v>1</v>
      </c>
      <c r="J109" s="33">
        <v>12.3</v>
      </c>
      <c r="K109" s="33">
        <v>12.9</v>
      </c>
      <c r="L109" s="34" t="s">
        <v>228</v>
      </c>
      <c r="M109" s="165" t="s">
        <v>349</v>
      </c>
    </row>
    <row r="110" spans="1:13" s="1" customFormat="1" ht="27.95" customHeight="1">
      <c r="A110" s="31" t="s">
        <v>51</v>
      </c>
      <c r="B110" s="101" t="s">
        <v>283</v>
      </c>
      <c r="C110" s="31" t="s">
        <v>52</v>
      </c>
      <c r="D110" s="31" t="s">
        <v>98</v>
      </c>
      <c r="E110" s="31" t="s">
        <v>99</v>
      </c>
      <c r="F110" s="31"/>
      <c r="G110" s="31" t="s">
        <v>229</v>
      </c>
      <c r="H110" s="32">
        <v>20000</v>
      </c>
      <c r="I110" s="31">
        <v>10</v>
      </c>
      <c r="J110" s="33">
        <v>205</v>
      </c>
      <c r="K110" s="33">
        <v>214</v>
      </c>
      <c r="L110" s="34" t="s">
        <v>230</v>
      </c>
      <c r="M110" s="165" t="s">
        <v>353</v>
      </c>
    </row>
    <row r="111" spans="1:13" s="1" customFormat="1" ht="27.95" customHeight="1">
      <c r="A111" s="31" t="s">
        <v>65</v>
      </c>
      <c r="B111" s="101" t="s">
        <v>359</v>
      </c>
      <c r="C111" s="31" t="s">
        <v>231</v>
      </c>
      <c r="D111" s="31" t="s">
        <v>232</v>
      </c>
      <c r="E111" s="31" t="s">
        <v>54</v>
      </c>
      <c r="F111" s="31">
        <v>100</v>
      </c>
      <c r="G111" s="31" t="s">
        <v>233</v>
      </c>
      <c r="H111" s="32">
        <v>5500</v>
      </c>
      <c r="I111" s="31">
        <v>11</v>
      </c>
      <c r="J111" s="33">
        <v>159.5</v>
      </c>
      <c r="K111" s="33">
        <v>166.1</v>
      </c>
      <c r="L111" s="34" t="s">
        <v>234</v>
      </c>
      <c r="M111" s="165" t="s">
        <v>347</v>
      </c>
    </row>
    <row r="112" spans="1:13" s="1" customFormat="1" ht="27.95" customHeight="1">
      <c r="A112" s="31" t="s">
        <v>235</v>
      </c>
      <c r="B112" s="101" t="s">
        <v>361</v>
      </c>
      <c r="C112" s="31" t="s">
        <v>236</v>
      </c>
      <c r="D112" s="31" t="s">
        <v>62</v>
      </c>
      <c r="E112" s="31" t="s">
        <v>237</v>
      </c>
      <c r="F112" s="31"/>
      <c r="G112" s="31" t="s">
        <v>238</v>
      </c>
      <c r="H112" s="32">
        <v>3000</v>
      </c>
      <c r="I112" s="31">
        <v>1</v>
      </c>
      <c r="J112" s="33">
        <v>5.5</v>
      </c>
      <c r="K112" s="33">
        <v>5.8</v>
      </c>
      <c r="L112" s="34" t="s">
        <v>239</v>
      </c>
      <c r="M112" s="165" t="s">
        <v>338</v>
      </c>
    </row>
    <row r="113" spans="1:13" s="1" customFormat="1" ht="27.95" customHeight="1">
      <c r="A113" s="31" t="s">
        <v>51</v>
      </c>
      <c r="B113" s="101" t="s">
        <v>362</v>
      </c>
      <c r="C113" s="31" t="s">
        <v>52</v>
      </c>
      <c r="D113" s="31" t="s">
        <v>62</v>
      </c>
      <c r="E113" s="31" t="s">
        <v>45</v>
      </c>
      <c r="F113" s="31">
        <v>300</v>
      </c>
      <c r="G113" s="31" t="s">
        <v>85</v>
      </c>
      <c r="H113" s="32">
        <v>18000</v>
      </c>
      <c r="I113" s="31">
        <v>10</v>
      </c>
      <c r="J113" s="33">
        <v>190</v>
      </c>
      <c r="K113" s="33">
        <v>199</v>
      </c>
      <c r="L113" s="34" t="s">
        <v>240</v>
      </c>
      <c r="M113" s="165" t="s">
        <v>342</v>
      </c>
    </row>
    <row r="114" spans="1:13" s="1" customFormat="1" ht="27.95" customHeight="1">
      <c r="A114" s="31" t="s">
        <v>241</v>
      </c>
      <c r="B114" s="101" t="s">
        <v>363</v>
      </c>
      <c r="C114" s="31" t="s">
        <v>66</v>
      </c>
      <c r="D114" s="31" t="s">
        <v>62</v>
      </c>
      <c r="E114" s="31" t="s">
        <v>54</v>
      </c>
      <c r="F114" s="31">
        <v>50</v>
      </c>
      <c r="G114" s="31" t="s">
        <v>242</v>
      </c>
      <c r="H114" s="32">
        <v>2000</v>
      </c>
      <c r="I114" s="31">
        <v>4</v>
      </c>
      <c r="J114" s="33">
        <v>63.2</v>
      </c>
      <c r="K114" s="33">
        <v>66</v>
      </c>
      <c r="L114" s="34" t="s">
        <v>243</v>
      </c>
      <c r="M114" s="165" t="s">
        <v>316</v>
      </c>
    </row>
    <row r="115" spans="1:13" s="1" customFormat="1" ht="27.95" customHeight="1">
      <c r="A115" s="31" t="s">
        <v>241</v>
      </c>
      <c r="B115" s="101" t="s">
        <v>363</v>
      </c>
      <c r="C115" s="31" t="s">
        <v>66</v>
      </c>
      <c r="D115" s="31" t="s">
        <v>62</v>
      </c>
      <c r="E115" s="31" t="s">
        <v>54</v>
      </c>
      <c r="F115" s="31">
        <v>50</v>
      </c>
      <c r="G115" s="31" t="s">
        <v>242</v>
      </c>
      <c r="H115" s="32">
        <v>350</v>
      </c>
      <c r="I115" s="31">
        <v>1</v>
      </c>
      <c r="J115" s="33">
        <v>11.1</v>
      </c>
      <c r="K115" s="33">
        <v>11.6</v>
      </c>
      <c r="L115" s="34" t="s">
        <v>244</v>
      </c>
      <c r="M115" s="165" t="s">
        <v>316</v>
      </c>
    </row>
    <row r="116" spans="1:13" s="1" customFormat="1" ht="27.95" customHeight="1">
      <c r="A116" s="31" t="s">
        <v>245</v>
      </c>
      <c r="B116" s="101" t="s">
        <v>364</v>
      </c>
      <c r="C116" s="31" t="s">
        <v>158</v>
      </c>
      <c r="D116" s="31" t="s">
        <v>246</v>
      </c>
      <c r="E116" s="31" t="s">
        <v>54</v>
      </c>
      <c r="F116" s="31">
        <v>50</v>
      </c>
      <c r="G116" s="31" t="s">
        <v>247</v>
      </c>
      <c r="H116" s="32">
        <v>1250</v>
      </c>
      <c r="I116" s="31">
        <v>5</v>
      </c>
      <c r="J116" s="33">
        <v>71</v>
      </c>
      <c r="K116" s="33">
        <v>74</v>
      </c>
      <c r="L116" s="34" t="s">
        <v>248</v>
      </c>
      <c r="M116" s="165" t="s">
        <v>346</v>
      </c>
    </row>
    <row r="117" spans="1:13" s="1" customFormat="1" ht="27.95" customHeight="1">
      <c r="A117" s="31" t="s">
        <v>245</v>
      </c>
      <c r="B117" s="101" t="s">
        <v>364</v>
      </c>
      <c r="C117" s="31" t="s">
        <v>158</v>
      </c>
      <c r="D117" s="31" t="s">
        <v>246</v>
      </c>
      <c r="E117" s="31" t="s">
        <v>54</v>
      </c>
      <c r="F117" s="31">
        <v>50</v>
      </c>
      <c r="G117" s="31" t="s">
        <v>247</v>
      </c>
      <c r="H117" s="32">
        <v>200</v>
      </c>
      <c r="I117" s="31">
        <v>1</v>
      </c>
      <c r="J117" s="33">
        <v>11.4</v>
      </c>
      <c r="K117" s="33">
        <v>11.9</v>
      </c>
      <c r="L117" s="34" t="s">
        <v>249</v>
      </c>
      <c r="M117" s="165" t="s">
        <v>346</v>
      </c>
    </row>
    <row r="118" spans="1:13" s="1" customFormat="1" ht="27.95" customHeight="1">
      <c r="A118" s="31" t="s">
        <v>51</v>
      </c>
      <c r="B118" s="101" t="s">
        <v>370</v>
      </c>
      <c r="C118" s="31" t="s">
        <v>52</v>
      </c>
      <c r="D118" s="31" t="s">
        <v>70</v>
      </c>
      <c r="E118" s="31" t="s">
        <v>54</v>
      </c>
      <c r="F118" s="31">
        <v>150</v>
      </c>
      <c r="G118" s="31" t="s">
        <v>71</v>
      </c>
      <c r="H118" s="32">
        <v>30000</v>
      </c>
      <c r="I118" s="31">
        <v>20</v>
      </c>
      <c r="J118" s="33">
        <v>286</v>
      </c>
      <c r="K118" s="33">
        <v>302</v>
      </c>
      <c r="L118" s="34" t="s">
        <v>72</v>
      </c>
      <c r="M118" s="165" t="s">
        <v>341</v>
      </c>
    </row>
    <row r="119" spans="1:13" s="1" customFormat="1" ht="27.95" customHeight="1">
      <c r="A119" s="31" t="s">
        <v>65</v>
      </c>
      <c r="B119" s="101" t="s">
        <v>372</v>
      </c>
      <c r="C119" s="31" t="s">
        <v>231</v>
      </c>
      <c r="D119" s="31" t="s">
        <v>250</v>
      </c>
      <c r="E119" s="31" t="s">
        <v>54</v>
      </c>
      <c r="F119" s="31">
        <v>100</v>
      </c>
      <c r="G119" s="31" t="s">
        <v>251</v>
      </c>
      <c r="H119" s="32">
        <v>3000</v>
      </c>
      <c r="I119" s="31">
        <v>6</v>
      </c>
      <c r="J119" s="33">
        <v>85.800000000000011</v>
      </c>
      <c r="K119" s="33">
        <v>89.4</v>
      </c>
      <c r="L119" s="34" t="s">
        <v>234</v>
      </c>
      <c r="M119" s="165" t="s">
        <v>352</v>
      </c>
    </row>
    <row r="120" spans="1:13" s="1" customFormat="1" ht="27.95" customHeight="1">
      <c r="A120" s="31" t="s">
        <v>51</v>
      </c>
      <c r="B120" s="101" t="s">
        <v>374</v>
      </c>
      <c r="C120" s="31" t="s">
        <v>52</v>
      </c>
      <c r="D120" s="31" t="s">
        <v>252</v>
      </c>
      <c r="E120" s="31" t="s">
        <v>54</v>
      </c>
      <c r="F120" s="31">
        <v>150</v>
      </c>
      <c r="G120" s="31" t="s">
        <v>63</v>
      </c>
      <c r="H120" s="32">
        <v>15000</v>
      </c>
      <c r="I120" s="31">
        <v>10</v>
      </c>
      <c r="J120" s="33">
        <v>126</v>
      </c>
      <c r="K120" s="33">
        <v>132</v>
      </c>
      <c r="L120" s="34" t="s">
        <v>88</v>
      </c>
      <c r="M120" s="165" t="s">
        <v>319</v>
      </c>
    </row>
    <row r="121" spans="1:13" s="1" customFormat="1" ht="27.95" customHeight="1">
      <c r="A121" s="31" t="s">
        <v>93</v>
      </c>
      <c r="B121" s="101" t="s">
        <v>381</v>
      </c>
      <c r="C121" s="31" t="s">
        <v>158</v>
      </c>
      <c r="D121" s="31" t="s">
        <v>62</v>
      </c>
      <c r="E121" s="31" t="s">
        <v>54</v>
      </c>
      <c r="F121" s="31">
        <v>25</v>
      </c>
      <c r="G121" s="31" t="s">
        <v>253</v>
      </c>
      <c r="H121" s="32">
        <v>54</v>
      </c>
      <c r="I121" s="31">
        <v>9</v>
      </c>
      <c r="J121" s="33">
        <v>51.3</v>
      </c>
      <c r="K121" s="33">
        <v>56.7</v>
      </c>
      <c r="L121" s="34" t="s">
        <v>254</v>
      </c>
      <c r="M121" s="165" t="s">
        <v>293</v>
      </c>
    </row>
    <row r="122" spans="1:13" s="1" customFormat="1" ht="27.95" customHeight="1">
      <c r="A122" s="31" t="s">
        <v>96</v>
      </c>
      <c r="B122" s="101" t="s">
        <v>381</v>
      </c>
      <c r="C122" s="31" t="s">
        <v>158</v>
      </c>
      <c r="D122" s="31" t="s">
        <v>62</v>
      </c>
      <c r="E122" s="31" t="s">
        <v>54</v>
      </c>
      <c r="F122" s="31">
        <v>25</v>
      </c>
      <c r="G122" s="31" t="s">
        <v>255</v>
      </c>
      <c r="H122" s="32">
        <v>120</v>
      </c>
      <c r="I122" s="31">
        <v>20</v>
      </c>
      <c r="J122" s="33">
        <v>116</v>
      </c>
      <c r="K122" s="33">
        <v>128</v>
      </c>
      <c r="L122" s="34" t="s">
        <v>254</v>
      </c>
      <c r="M122" s="165" t="s">
        <v>301</v>
      </c>
    </row>
    <row r="123" spans="1:13" s="1" customFormat="1" ht="27.95" customHeight="1">
      <c r="A123" s="31" t="s">
        <v>93</v>
      </c>
      <c r="B123" s="101" t="s">
        <v>381</v>
      </c>
      <c r="C123" s="31" t="s">
        <v>66</v>
      </c>
      <c r="D123" s="31" t="s">
        <v>67</v>
      </c>
      <c r="E123" s="31" t="s">
        <v>54</v>
      </c>
      <c r="F123" s="31">
        <v>25</v>
      </c>
      <c r="G123" s="31" t="s">
        <v>94</v>
      </c>
      <c r="H123" s="32">
        <v>100</v>
      </c>
      <c r="I123" s="31">
        <v>10</v>
      </c>
      <c r="J123" s="33">
        <v>52</v>
      </c>
      <c r="K123" s="33">
        <v>58</v>
      </c>
      <c r="L123" s="34" t="s">
        <v>95</v>
      </c>
      <c r="M123" s="165" t="s">
        <v>300</v>
      </c>
    </row>
    <row r="124" spans="1:13" s="1" customFormat="1" ht="27.95" customHeight="1">
      <c r="A124" s="31" t="s">
        <v>96</v>
      </c>
      <c r="B124" s="101" t="s">
        <v>381</v>
      </c>
      <c r="C124" s="31" t="s">
        <v>66</v>
      </c>
      <c r="D124" s="31" t="s">
        <v>67</v>
      </c>
      <c r="E124" s="31" t="s">
        <v>54</v>
      </c>
      <c r="F124" s="31">
        <v>25</v>
      </c>
      <c r="G124" s="31" t="s">
        <v>97</v>
      </c>
      <c r="H124" s="32">
        <v>100</v>
      </c>
      <c r="I124" s="31">
        <v>10</v>
      </c>
      <c r="J124" s="33">
        <v>52</v>
      </c>
      <c r="K124" s="33">
        <v>58</v>
      </c>
      <c r="L124" s="34" t="s">
        <v>95</v>
      </c>
      <c r="M124" s="165" t="s">
        <v>299</v>
      </c>
    </row>
    <row r="125" spans="1:13" s="1" customFormat="1" ht="27.95" customHeight="1">
      <c r="A125" s="31" t="s">
        <v>96</v>
      </c>
      <c r="B125" s="101" t="s">
        <v>381</v>
      </c>
      <c r="C125" s="31" t="s">
        <v>66</v>
      </c>
      <c r="D125" s="31" t="s">
        <v>62</v>
      </c>
      <c r="E125" s="31" t="s">
        <v>54</v>
      </c>
      <c r="F125" s="31">
        <v>25</v>
      </c>
      <c r="G125" s="31" t="s">
        <v>256</v>
      </c>
      <c r="H125" s="32">
        <v>200</v>
      </c>
      <c r="I125" s="31">
        <v>20</v>
      </c>
      <c r="J125" s="33">
        <v>180</v>
      </c>
      <c r="K125" s="33">
        <v>192</v>
      </c>
      <c r="L125" s="34" t="s">
        <v>257</v>
      </c>
      <c r="M125" s="165" t="s">
        <v>313</v>
      </c>
    </row>
    <row r="126" spans="1:13" s="1" customFormat="1" ht="27.95" customHeight="1">
      <c r="A126" s="31" t="s">
        <v>115</v>
      </c>
      <c r="B126" s="101" t="s">
        <v>375</v>
      </c>
      <c r="C126" s="31" t="s">
        <v>123</v>
      </c>
      <c r="D126" s="31" t="s">
        <v>116</v>
      </c>
      <c r="E126" s="31" t="s">
        <v>54</v>
      </c>
      <c r="F126" s="31">
        <v>100</v>
      </c>
      <c r="G126" s="31" t="s">
        <v>258</v>
      </c>
      <c r="H126" s="32">
        <v>5000</v>
      </c>
      <c r="I126" s="31">
        <v>10</v>
      </c>
      <c r="J126" s="33">
        <v>199</v>
      </c>
      <c r="K126" s="33">
        <v>204</v>
      </c>
      <c r="L126" s="34" t="s">
        <v>259</v>
      </c>
      <c r="M126" s="165" t="s">
        <v>292</v>
      </c>
    </row>
    <row r="127" spans="1:13" s="1" customFormat="1" ht="27.95" customHeight="1">
      <c r="A127" s="31" t="s">
        <v>102</v>
      </c>
      <c r="B127" s="101" t="s">
        <v>377</v>
      </c>
      <c r="C127" s="31" t="s">
        <v>66</v>
      </c>
      <c r="D127" s="31" t="s">
        <v>62</v>
      </c>
      <c r="E127" s="31" t="s">
        <v>104</v>
      </c>
      <c r="F127" s="31">
        <v>50</v>
      </c>
      <c r="G127" s="31" t="s">
        <v>260</v>
      </c>
      <c r="H127" s="32">
        <v>1000</v>
      </c>
      <c r="I127" s="31">
        <v>2</v>
      </c>
      <c r="J127" s="33">
        <v>24.8</v>
      </c>
      <c r="K127" s="33">
        <v>26</v>
      </c>
      <c r="L127" s="34" t="s">
        <v>106</v>
      </c>
      <c r="M127" s="165" t="s">
        <v>340</v>
      </c>
    </row>
    <row r="128" spans="1:13" s="1" customFormat="1" ht="27.95" customHeight="1">
      <c r="A128" s="31" t="s">
        <v>225</v>
      </c>
      <c r="B128" s="101" t="s">
        <v>377</v>
      </c>
      <c r="C128" s="31" t="s">
        <v>261</v>
      </c>
      <c r="D128" s="31" t="s">
        <v>262</v>
      </c>
      <c r="E128" s="31" t="s">
        <v>45</v>
      </c>
      <c r="F128" s="31">
        <v>300</v>
      </c>
      <c r="G128" s="31" t="s">
        <v>263</v>
      </c>
      <c r="H128" s="32">
        <v>18000</v>
      </c>
      <c r="I128" s="31">
        <v>15</v>
      </c>
      <c r="J128" s="33">
        <v>237</v>
      </c>
      <c r="K128" s="33">
        <v>247.5</v>
      </c>
      <c r="L128" s="34" t="s">
        <v>264</v>
      </c>
      <c r="M128" s="165" t="s">
        <v>284</v>
      </c>
    </row>
    <row r="129" spans="1:13" s="1" customFormat="1" ht="27.95" customHeight="1">
      <c r="A129" s="31" t="s">
        <v>265</v>
      </c>
      <c r="B129" s="101" t="s">
        <v>386</v>
      </c>
      <c r="C129" s="31" t="s">
        <v>103</v>
      </c>
      <c r="D129" s="31" t="s">
        <v>266</v>
      </c>
      <c r="E129" s="31" t="s">
        <v>237</v>
      </c>
      <c r="F129" s="31"/>
      <c r="G129" s="31" t="s">
        <v>267</v>
      </c>
      <c r="H129" s="32">
        <v>250</v>
      </c>
      <c r="I129" s="31">
        <v>1</v>
      </c>
      <c r="J129" s="33">
        <v>14.2</v>
      </c>
      <c r="K129" s="33">
        <v>14.7</v>
      </c>
      <c r="L129" s="34" t="s">
        <v>268</v>
      </c>
      <c r="M129" s="165" t="s">
        <v>310</v>
      </c>
    </row>
    <row r="130" spans="1:13" s="1" customFormat="1" ht="27.95" customHeight="1">
      <c r="A130" s="31"/>
      <c r="B130" s="31"/>
      <c r="C130" s="31"/>
      <c r="D130" s="31" t="s">
        <v>269</v>
      </c>
      <c r="E130" s="31"/>
      <c r="F130" s="31"/>
      <c r="G130" s="31"/>
      <c r="H130" s="32"/>
      <c r="I130" s="31"/>
      <c r="J130" s="33"/>
      <c r="K130" s="33"/>
      <c r="L130" s="34"/>
      <c r="M130" s="165"/>
    </row>
    <row r="131" spans="1:13" s="1" customFormat="1" ht="27.95" customHeight="1">
      <c r="A131" s="31" t="s">
        <v>265</v>
      </c>
      <c r="B131" s="101" t="s">
        <v>386</v>
      </c>
      <c r="C131" s="31" t="s">
        <v>103</v>
      </c>
      <c r="D131" s="31" t="s">
        <v>266</v>
      </c>
      <c r="E131" s="31" t="s">
        <v>237</v>
      </c>
      <c r="F131" s="31"/>
      <c r="G131" s="31" t="s">
        <v>267</v>
      </c>
      <c r="H131" s="32">
        <v>255</v>
      </c>
      <c r="I131" s="31">
        <v>1</v>
      </c>
      <c r="J131" s="33">
        <v>14.3</v>
      </c>
      <c r="K131" s="33">
        <v>14.8</v>
      </c>
      <c r="L131" s="34" t="s">
        <v>268</v>
      </c>
      <c r="M131" s="166" t="s">
        <v>310</v>
      </c>
    </row>
    <row r="132" spans="1:13" s="1" customFormat="1" ht="27.95" customHeight="1">
      <c r="A132" s="31"/>
      <c r="B132" s="31"/>
      <c r="C132" s="31"/>
      <c r="D132" s="31" t="s">
        <v>269</v>
      </c>
      <c r="E132" s="31"/>
      <c r="F132" s="31"/>
      <c r="G132" s="31"/>
      <c r="H132" s="32"/>
      <c r="I132" s="31"/>
      <c r="J132" s="33"/>
      <c r="K132" s="33"/>
      <c r="L132" s="34"/>
      <c r="M132" s="167"/>
    </row>
    <row r="133" spans="1:13" s="1" customFormat="1" ht="27.95" customHeight="1">
      <c r="A133" s="31"/>
      <c r="B133" s="31"/>
      <c r="C133" s="31"/>
      <c r="D133" s="31"/>
      <c r="E133" s="31"/>
      <c r="F133" s="31"/>
      <c r="G133" s="31" t="s">
        <v>270</v>
      </c>
      <c r="H133" s="32"/>
      <c r="I133" s="31"/>
      <c r="J133" s="33"/>
      <c r="K133" s="33">
        <v>428.7</v>
      </c>
      <c r="L133" s="34"/>
    </row>
    <row r="134" spans="1:13" s="1" customFormat="1" ht="27.95" customHeight="1">
      <c r="A134" s="31"/>
      <c r="B134" s="31"/>
      <c r="C134" s="31"/>
      <c r="D134" s="31"/>
      <c r="E134" s="31"/>
      <c r="F134" s="31"/>
      <c r="G134" s="31" t="s">
        <v>271</v>
      </c>
      <c r="H134" s="32" t="s">
        <v>272</v>
      </c>
      <c r="I134" s="31"/>
      <c r="J134" s="33">
        <v>500</v>
      </c>
      <c r="K134" s="33">
        <v>570</v>
      </c>
      <c r="L134" s="34">
        <v>1.87</v>
      </c>
    </row>
    <row r="135" spans="1:13" ht="15">
      <c r="A135" s="35"/>
      <c r="B135" s="33"/>
      <c r="C135" s="35"/>
      <c r="D135" s="36"/>
      <c r="E135" s="36"/>
      <c r="F135" s="36"/>
      <c r="G135" s="37" t="s">
        <v>273</v>
      </c>
      <c r="H135" s="38">
        <f>SUM(H24:H134)</f>
        <v>1633439</v>
      </c>
      <c r="I135" s="38">
        <f>SUM(I24:I134)</f>
        <v>1322</v>
      </c>
      <c r="J135" s="39">
        <f>SUM(J24:J134)</f>
        <v>19375</v>
      </c>
      <c r="K135" s="39">
        <f>SUM(K24:K134)</f>
        <v>20890.000000000007</v>
      </c>
      <c r="L135" s="37" t="s">
        <v>274</v>
      </c>
    </row>
  </sheetData>
  <autoFilter ref="A22:L135" xr:uid="{976CA506-E605-444C-9FE8-A39484BAB27A}"/>
  <mergeCells count="31">
    <mergeCell ref="A20:C20"/>
    <mergeCell ref="D20:F20"/>
    <mergeCell ref="H20:I20"/>
    <mergeCell ref="J20:K20"/>
    <mergeCell ref="A18:C18"/>
    <mergeCell ref="D18:F18"/>
    <mergeCell ref="G18:H18"/>
    <mergeCell ref="I18:K18"/>
    <mergeCell ref="A19:C19"/>
    <mergeCell ref="D19:F19"/>
    <mergeCell ref="H19:I19"/>
    <mergeCell ref="J19:K19"/>
    <mergeCell ref="A14:C14"/>
    <mergeCell ref="H14:J14"/>
    <mergeCell ref="I15:J15"/>
    <mergeCell ref="A17:C17"/>
    <mergeCell ref="D17:F17"/>
    <mergeCell ref="G17:H17"/>
    <mergeCell ref="I17:K17"/>
    <mergeCell ref="A13:C13"/>
    <mergeCell ref="A1:K1"/>
    <mergeCell ref="A2:K2"/>
    <mergeCell ref="A3:K3"/>
    <mergeCell ref="A4:K4"/>
    <mergeCell ref="A6:K6"/>
    <mergeCell ref="H7:J7"/>
    <mergeCell ref="A8:C8"/>
    <mergeCell ref="I8:J8"/>
    <mergeCell ref="H10:J10"/>
    <mergeCell ref="I11:J11"/>
    <mergeCell ref="I12:J12"/>
  </mergeCells>
  <pageMargins left="0.16" right="0.2" top="0.35" bottom="0.35" header="0.51" footer="0.28000000000000003"/>
  <pageSetup paperSize="9" orientation="landscape" horizontalDpi="4294967293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3E7A-5061-4CA8-85E2-28E511FF8CB1}">
  <dimension ref="A1:K134"/>
  <sheetViews>
    <sheetView tabSelected="1" topLeftCell="A117" zoomScaleSheetLayoutView="100" workbookViewId="0">
      <selection activeCell="K25" sqref="K25:K133"/>
    </sheetView>
  </sheetViews>
  <sheetFormatPr defaultRowHeight="14.25"/>
  <cols>
    <col min="1" max="1" width="20.5" customWidth="1"/>
    <col min="2" max="2" width="9.5" style="2" customWidth="1"/>
    <col min="3" max="3" width="6.375" customWidth="1"/>
    <col min="4" max="4" width="20.75" customWidth="1"/>
    <col min="5" max="5" width="7" style="3" customWidth="1"/>
    <col min="6" max="6" width="6" style="3" customWidth="1"/>
    <col min="7" max="7" width="26.875" style="3" customWidth="1"/>
    <col min="8" max="8" width="10.125" style="99" customWidth="1"/>
    <col min="9" max="9" width="15.75" style="100" customWidth="1"/>
    <col min="10" max="10" width="14.5" style="3" customWidth="1"/>
    <col min="11" max="11" width="12.625" bestFit="1" customWidth="1"/>
  </cols>
  <sheetData>
    <row r="1" spans="1:10" ht="21.95" customHeight="1">
      <c r="A1" s="104" t="s">
        <v>0</v>
      </c>
      <c r="B1" s="104"/>
      <c r="C1" s="104"/>
      <c r="D1" s="104"/>
      <c r="E1" s="104"/>
      <c r="F1" s="104"/>
      <c r="G1" s="104"/>
      <c r="H1" s="119"/>
      <c r="I1" s="120"/>
      <c r="J1" s="104"/>
    </row>
    <row r="2" spans="1:10" ht="21.95" customHeight="1">
      <c r="A2" s="106" t="s">
        <v>1</v>
      </c>
      <c r="B2" s="106"/>
      <c r="C2" s="106"/>
      <c r="D2" s="106"/>
      <c r="E2" s="106"/>
      <c r="F2" s="106"/>
      <c r="G2" s="106"/>
      <c r="H2" s="121"/>
      <c r="I2" s="122"/>
      <c r="J2" s="106"/>
    </row>
    <row r="3" spans="1:10" ht="15.75">
      <c r="A3" s="108" t="s">
        <v>2</v>
      </c>
      <c r="B3" s="108"/>
      <c r="C3" s="108"/>
      <c r="D3" s="108"/>
      <c r="E3" s="108"/>
      <c r="F3" s="108"/>
      <c r="G3" s="108"/>
      <c r="H3" s="123"/>
      <c r="I3" s="124"/>
      <c r="J3" s="108"/>
    </row>
    <row r="4" spans="1:10" ht="15.75">
      <c r="A4" s="108" t="s">
        <v>3</v>
      </c>
      <c r="B4" s="108"/>
      <c r="C4" s="108"/>
      <c r="D4" s="108"/>
      <c r="E4" s="108"/>
      <c r="F4" s="108"/>
      <c r="G4" s="108"/>
      <c r="H4" s="123"/>
      <c r="I4" s="124"/>
      <c r="J4" s="108"/>
    </row>
    <row r="5" spans="1:10" ht="20.25">
      <c r="A5" s="4"/>
      <c r="B5" s="4"/>
      <c r="C5" s="4"/>
      <c r="D5" s="4"/>
      <c r="E5" s="4"/>
      <c r="F5" s="4"/>
      <c r="G5" s="4"/>
      <c r="H5" s="40"/>
      <c r="I5" s="41"/>
      <c r="J5" s="4"/>
    </row>
    <row r="6" spans="1:10" ht="24.95" customHeight="1" thickBot="1">
      <c r="A6" s="109" t="s">
        <v>275</v>
      </c>
      <c r="B6" s="109"/>
      <c r="C6" s="109"/>
      <c r="D6" s="109"/>
      <c r="E6" s="109"/>
      <c r="F6" s="109"/>
      <c r="G6" s="109"/>
      <c r="H6" s="125"/>
      <c r="I6" s="126"/>
      <c r="J6" s="109"/>
    </row>
    <row r="7" spans="1:10">
      <c r="A7" s="42" t="s">
        <v>5</v>
      </c>
      <c r="B7" s="43"/>
      <c r="C7" s="44"/>
      <c r="D7" s="44"/>
      <c r="E7" s="44"/>
      <c r="F7" s="44"/>
      <c r="G7" s="45"/>
      <c r="H7" s="127" t="s">
        <v>6</v>
      </c>
      <c r="I7" s="128"/>
      <c r="J7" s="129"/>
    </row>
    <row r="8" spans="1:10">
      <c r="A8" s="102" t="s">
        <v>7</v>
      </c>
      <c r="B8" s="103"/>
      <c r="C8" s="103"/>
      <c r="D8" s="15"/>
      <c r="E8" s="15"/>
      <c r="F8" s="15"/>
      <c r="G8" s="5"/>
      <c r="H8" s="46"/>
      <c r="I8" s="112" t="s">
        <v>8</v>
      </c>
      <c r="J8" s="113"/>
    </row>
    <row r="9" spans="1:10" ht="90.95" customHeight="1" thickBot="1">
      <c r="A9" s="47" t="s">
        <v>9</v>
      </c>
      <c r="B9" s="14"/>
      <c r="C9" s="47"/>
      <c r="D9" s="48"/>
      <c r="E9" s="15"/>
      <c r="F9" s="15"/>
      <c r="G9" s="5"/>
      <c r="H9" s="49"/>
      <c r="I9" s="50"/>
      <c r="J9" s="51"/>
    </row>
    <row r="10" spans="1:10">
      <c r="A10" s="14" t="s">
        <v>276</v>
      </c>
      <c r="B10" s="15"/>
      <c r="C10" s="15"/>
      <c r="D10" s="15"/>
      <c r="E10" s="15"/>
      <c r="F10" s="15"/>
      <c r="G10" s="52"/>
      <c r="H10" s="130" t="s">
        <v>12</v>
      </c>
      <c r="I10" s="131"/>
      <c r="J10" s="132"/>
    </row>
    <row r="11" spans="1:10">
      <c r="A11" s="53"/>
      <c r="B11" s="54"/>
      <c r="C11" s="54"/>
      <c r="D11" s="54"/>
      <c r="E11" s="54"/>
      <c r="F11" s="54"/>
      <c r="G11" s="55"/>
      <c r="H11" s="133"/>
      <c r="I11" s="134"/>
      <c r="J11" s="52"/>
    </row>
    <row r="12" spans="1:10">
      <c r="A12" s="56" t="s">
        <v>13</v>
      </c>
      <c r="B12" s="57"/>
      <c r="C12" s="58"/>
      <c r="D12" s="59"/>
      <c r="E12" s="59"/>
      <c r="F12" s="59"/>
      <c r="G12" s="52"/>
      <c r="H12" s="46"/>
      <c r="I12" s="131"/>
      <c r="J12" s="132"/>
    </row>
    <row r="13" spans="1:10">
      <c r="A13" s="102" t="s">
        <v>277</v>
      </c>
      <c r="B13" s="103"/>
      <c r="C13" s="103"/>
      <c r="D13" s="15"/>
      <c r="E13" s="15"/>
      <c r="F13" s="15"/>
      <c r="G13" s="52"/>
      <c r="H13" s="60"/>
      <c r="I13" s="61"/>
      <c r="J13" s="55"/>
    </row>
    <row r="14" spans="1:10">
      <c r="A14" s="102" t="s">
        <v>15</v>
      </c>
      <c r="B14" s="103"/>
      <c r="C14" s="103"/>
      <c r="D14" s="15"/>
      <c r="E14" s="15"/>
      <c r="F14" s="15"/>
      <c r="G14" s="52"/>
      <c r="H14" s="135" t="s">
        <v>16</v>
      </c>
      <c r="I14" s="136"/>
      <c r="J14" s="137"/>
    </row>
    <row r="15" spans="1:10">
      <c r="A15" s="14" t="s">
        <v>17</v>
      </c>
      <c r="B15" s="15"/>
      <c r="C15" s="15"/>
      <c r="D15" s="15"/>
      <c r="E15" s="15"/>
      <c r="F15" s="15"/>
      <c r="G15" s="52"/>
      <c r="H15" s="46"/>
      <c r="I15" s="131"/>
      <c r="J15" s="132"/>
    </row>
    <row r="16" spans="1:10" ht="15" thickBot="1">
      <c r="A16" s="62"/>
      <c r="B16" s="63"/>
      <c r="C16" s="63"/>
      <c r="D16" s="63"/>
      <c r="E16" s="63"/>
      <c r="F16" s="63"/>
      <c r="G16" s="64"/>
      <c r="H16" s="65"/>
      <c r="I16" s="50"/>
      <c r="J16" s="64"/>
    </row>
    <row r="17" spans="1:11">
      <c r="A17" s="138" t="s">
        <v>18</v>
      </c>
      <c r="B17" s="139"/>
      <c r="C17" s="140"/>
      <c r="D17" s="141" t="s">
        <v>19</v>
      </c>
      <c r="E17" s="139"/>
      <c r="F17" s="142"/>
      <c r="G17" s="143" t="s">
        <v>20</v>
      </c>
      <c r="H17" s="144"/>
      <c r="I17" s="145" t="s">
        <v>21</v>
      </c>
      <c r="J17" s="129"/>
    </row>
    <row r="18" spans="1:11" ht="18.95" customHeight="1">
      <c r="A18" s="150" t="s">
        <v>278</v>
      </c>
      <c r="B18" s="151"/>
      <c r="C18" s="152"/>
      <c r="D18" s="153"/>
      <c r="E18" s="151"/>
      <c r="F18" s="152"/>
      <c r="G18" s="153" t="s">
        <v>23</v>
      </c>
      <c r="H18" s="154"/>
      <c r="I18" s="155" t="s">
        <v>24</v>
      </c>
      <c r="J18" s="156"/>
      <c r="K18" s="67"/>
    </row>
    <row r="19" spans="1:11">
      <c r="A19" s="157" t="s">
        <v>25</v>
      </c>
      <c r="B19" s="158"/>
      <c r="C19" s="159"/>
      <c r="D19" s="160" t="s">
        <v>26</v>
      </c>
      <c r="E19" s="158"/>
      <c r="F19" s="161"/>
      <c r="G19" s="68" t="s">
        <v>39</v>
      </c>
      <c r="H19" s="162" t="s">
        <v>28</v>
      </c>
      <c r="I19" s="161"/>
      <c r="J19" s="69" t="s">
        <v>29</v>
      </c>
    </row>
    <row r="20" spans="1:11" ht="15" thickBot="1">
      <c r="A20" s="146" t="s">
        <v>30</v>
      </c>
      <c r="B20" s="147"/>
      <c r="C20" s="148"/>
      <c r="D20" s="149" t="s">
        <v>30</v>
      </c>
      <c r="E20" s="147"/>
      <c r="F20" s="148"/>
      <c r="G20" s="70">
        <v>1322</v>
      </c>
      <c r="H20" s="116">
        <v>19375</v>
      </c>
      <c r="I20" s="116"/>
      <c r="J20" s="71">
        <v>20890.000000000007</v>
      </c>
      <c r="K20" s="72"/>
    </row>
    <row r="21" spans="1:11" ht="15" thickBot="1">
      <c r="A21" s="73"/>
      <c r="B21" s="74"/>
      <c r="C21" s="74"/>
      <c r="D21" s="73"/>
      <c r="E21" s="73"/>
      <c r="F21" s="73"/>
      <c r="G21" s="75"/>
      <c r="H21" s="76"/>
      <c r="I21" s="5"/>
      <c r="J21" s="5"/>
    </row>
    <row r="22" spans="1:11" ht="15">
      <c r="A22" s="77" t="s">
        <v>31</v>
      </c>
      <c r="B22" s="78" t="s">
        <v>32</v>
      </c>
      <c r="C22" s="79" t="s">
        <v>33</v>
      </c>
      <c r="D22" s="79" t="s">
        <v>34</v>
      </c>
      <c r="E22" s="79" t="s">
        <v>35</v>
      </c>
      <c r="F22" s="80" t="s">
        <v>36</v>
      </c>
      <c r="G22" s="79" t="s">
        <v>37</v>
      </c>
      <c r="H22" s="81" t="s">
        <v>279</v>
      </c>
      <c r="I22" s="66" t="s">
        <v>38</v>
      </c>
      <c r="J22" s="82" t="s">
        <v>280</v>
      </c>
      <c r="K22" s="163" t="s">
        <v>389</v>
      </c>
    </row>
    <row r="23" spans="1:11" ht="15" thickBot="1">
      <c r="A23" s="83"/>
      <c r="B23" s="84" t="s">
        <v>43</v>
      </c>
      <c r="C23" s="85"/>
      <c r="D23" s="85" t="s">
        <v>44</v>
      </c>
      <c r="E23" s="85" t="s">
        <v>45</v>
      </c>
      <c r="F23" s="86" t="s">
        <v>46</v>
      </c>
      <c r="G23" s="85" t="s">
        <v>47</v>
      </c>
      <c r="H23" s="87" t="s">
        <v>281</v>
      </c>
      <c r="I23" s="88"/>
      <c r="J23" s="89"/>
      <c r="K23" s="164"/>
    </row>
    <row r="24" spans="1:11" ht="6.95" customHeight="1">
      <c r="A24" s="90"/>
      <c r="B24" s="91"/>
      <c r="C24" s="90"/>
      <c r="D24" s="90"/>
      <c r="E24" s="91"/>
      <c r="F24" s="91"/>
      <c r="G24" s="91"/>
      <c r="H24" s="92"/>
      <c r="I24" s="93"/>
      <c r="J24" s="91"/>
    </row>
    <row r="25" spans="1:11" ht="27" customHeight="1">
      <c r="A25" s="31" t="s">
        <v>51</v>
      </c>
      <c r="B25" s="31">
        <v>250702</v>
      </c>
      <c r="C25" s="31" t="s">
        <v>52</v>
      </c>
      <c r="D25" s="31" t="s">
        <v>53</v>
      </c>
      <c r="E25" s="31" t="s">
        <v>54</v>
      </c>
      <c r="F25" s="31">
        <v>100</v>
      </c>
      <c r="G25" s="31" t="s">
        <v>55</v>
      </c>
      <c r="H25" s="94">
        <v>5.7500000000000002E-2</v>
      </c>
      <c r="I25" s="32">
        <v>5000</v>
      </c>
      <c r="J25" s="95">
        <f t="shared" ref="J25:J88" si="0">I25*H25</f>
        <v>287.5</v>
      </c>
      <c r="K25" s="165" t="s">
        <v>296</v>
      </c>
    </row>
    <row r="26" spans="1:11" ht="27" customHeight="1">
      <c r="A26" s="31" t="s">
        <v>51</v>
      </c>
      <c r="B26" s="31">
        <v>250702</v>
      </c>
      <c r="C26" s="31" t="s">
        <v>52</v>
      </c>
      <c r="D26" s="31" t="s">
        <v>53</v>
      </c>
      <c r="E26" s="31" t="s">
        <v>54</v>
      </c>
      <c r="F26" s="31">
        <v>100</v>
      </c>
      <c r="G26" s="31" t="s">
        <v>55</v>
      </c>
      <c r="H26" s="94">
        <v>5.7500000000000002E-2</v>
      </c>
      <c r="I26" s="32">
        <v>800</v>
      </c>
      <c r="J26" s="95">
        <f t="shared" si="0"/>
        <v>46</v>
      </c>
      <c r="K26" s="165" t="s">
        <v>296</v>
      </c>
    </row>
    <row r="27" spans="1:11" ht="27" customHeight="1">
      <c r="A27" s="31" t="s">
        <v>57</v>
      </c>
      <c r="B27" s="31">
        <v>250809</v>
      </c>
      <c r="C27" s="31" t="s">
        <v>58</v>
      </c>
      <c r="D27" s="31" t="s">
        <v>59</v>
      </c>
      <c r="E27" s="31" t="s">
        <v>45</v>
      </c>
      <c r="F27" s="31">
        <v>200</v>
      </c>
      <c r="G27" s="31" t="s">
        <v>60</v>
      </c>
      <c r="H27" s="94">
        <v>3.2199999999999999E-2</v>
      </c>
      <c r="I27" s="32">
        <v>10000</v>
      </c>
      <c r="J27" s="95">
        <f t="shared" si="0"/>
        <v>322</v>
      </c>
      <c r="K27" s="165" t="s">
        <v>320</v>
      </c>
    </row>
    <row r="28" spans="1:11" ht="27" customHeight="1">
      <c r="A28" s="31" t="s">
        <v>57</v>
      </c>
      <c r="B28" s="31">
        <v>250829</v>
      </c>
      <c r="C28" s="31" t="s">
        <v>58</v>
      </c>
      <c r="D28" s="31" t="s">
        <v>62</v>
      </c>
      <c r="E28" s="31" t="s">
        <v>45</v>
      </c>
      <c r="F28" s="31">
        <v>200</v>
      </c>
      <c r="G28" s="31" t="s">
        <v>60</v>
      </c>
      <c r="H28" s="94">
        <v>3.2199999999999999E-2</v>
      </c>
      <c r="I28" s="32">
        <v>10000</v>
      </c>
      <c r="J28" s="95">
        <f t="shared" si="0"/>
        <v>322</v>
      </c>
      <c r="K28" s="165" t="s">
        <v>291</v>
      </c>
    </row>
    <row r="29" spans="1:11" ht="27" customHeight="1">
      <c r="A29" s="31" t="s">
        <v>51</v>
      </c>
      <c r="B29" s="31">
        <v>251011</v>
      </c>
      <c r="C29" s="31" t="s">
        <v>52</v>
      </c>
      <c r="D29" s="31" t="s">
        <v>53</v>
      </c>
      <c r="E29" s="31" t="s">
        <v>54</v>
      </c>
      <c r="F29" s="31">
        <v>150</v>
      </c>
      <c r="G29" s="31" t="s">
        <v>63</v>
      </c>
      <c r="H29" s="94">
        <v>2.9499999999999998E-2</v>
      </c>
      <c r="I29" s="32">
        <v>30000</v>
      </c>
      <c r="J29" s="95">
        <f t="shared" si="0"/>
        <v>885</v>
      </c>
      <c r="K29" s="165" t="s">
        <v>308</v>
      </c>
    </row>
    <row r="30" spans="1:11" ht="27" customHeight="1">
      <c r="A30" s="31" t="s">
        <v>65</v>
      </c>
      <c r="B30" s="31">
        <v>251022</v>
      </c>
      <c r="C30" s="31" t="s">
        <v>66</v>
      </c>
      <c r="D30" s="31" t="s">
        <v>67</v>
      </c>
      <c r="E30" s="31" t="s">
        <v>54</v>
      </c>
      <c r="F30" s="31">
        <v>100</v>
      </c>
      <c r="G30" s="31" t="s">
        <v>68</v>
      </c>
      <c r="H30" s="94">
        <v>8.2100000000000006E-2</v>
      </c>
      <c r="I30" s="32">
        <v>22000</v>
      </c>
      <c r="J30" s="95">
        <f t="shared" si="0"/>
        <v>1806.2</v>
      </c>
      <c r="K30" s="165" t="s">
        <v>328</v>
      </c>
    </row>
    <row r="31" spans="1:11" ht="27" customHeight="1">
      <c r="A31" s="31" t="s">
        <v>51</v>
      </c>
      <c r="B31" s="31">
        <v>251022</v>
      </c>
      <c r="C31" s="31" t="s">
        <v>52</v>
      </c>
      <c r="D31" s="31" t="s">
        <v>70</v>
      </c>
      <c r="E31" s="31" t="s">
        <v>54</v>
      </c>
      <c r="F31" s="31">
        <v>150</v>
      </c>
      <c r="G31" s="31" t="s">
        <v>71</v>
      </c>
      <c r="H31" s="94">
        <v>4.2000000000000003E-2</v>
      </c>
      <c r="I31" s="32">
        <v>30000</v>
      </c>
      <c r="J31" s="95">
        <f t="shared" si="0"/>
        <v>1260</v>
      </c>
      <c r="K31" s="165" t="s">
        <v>341</v>
      </c>
    </row>
    <row r="32" spans="1:11" ht="27" customHeight="1">
      <c r="A32" s="31" t="s">
        <v>51</v>
      </c>
      <c r="B32" s="31">
        <v>251117</v>
      </c>
      <c r="C32" s="31" t="s">
        <v>52</v>
      </c>
      <c r="D32" s="31" t="s">
        <v>53</v>
      </c>
      <c r="E32" s="31" t="s">
        <v>54</v>
      </c>
      <c r="F32" s="31">
        <v>100</v>
      </c>
      <c r="G32" s="31" t="s">
        <v>55</v>
      </c>
      <c r="H32" s="94">
        <v>5.7500000000000002E-2</v>
      </c>
      <c r="I32" s="32">
        <v>3000</v>
      </c>
      <c r="J32" s="95">
        <f t="shared" si="0"/>
        <v>172.5</v>
      </c>
      <c r="K32" s="165" t="s">
        <v>296</v>
      </c>
    </row>
    <row r="33" spans="1:11" ht="27" customHeight="1">
      <c r="A33" s="31" t="s">
        <v>51</v>
      </c>
      <c r="B33" s="31">
        <v>251207</v>
      </c>
      <c r="C33" s="31" t="s">
        <v>52</v>
      </c>
      <c r="D33" s="31" t="s">
        <v>73</v>
      </c>
      <c r="E33" s="31" t="s">
        <v>54</v>
      </c>
      <c r="F33" s="31">
        <v>150</v>
      </c>
      <c r="G33" s="31" t="s">
        <v>74</v>
      </c>
      <c r="H33" s="94">
        <v>3.2800000000000003E-2</v>
      </c>
      <c r="I33" s="32">
        <v>81000</v>
      </c>
      <c r="J33" s="95">
        <f t="shared" si="0"/>
        <v>2656.8</v>
      </c>
      <c r="K33" s="165" t="s">
        <v>304</v>
      </c>
    </row>
    <row r="34" spans="1:11" ht="27" customHeight="1">
      <c r="A34" s="31" t="s">
        <v>65</v>
      </c>
      <c r="B34" s="31">
        <v>251207</v>
      </c>
      <c r="C34" s="31" t="s">
        <v>66</v>
      </c>
      <c r="D34" s="31" t="s">
        <v>67</v>
      </c>
      <c r="E34" s="31" t="s">
        <v>54</v>
      </c>
      <c r="F34" s="31">
        <v>100</v>
      </c>
      <c r="G34" s="31" t="s">
        <v>68</v>
      </c>
      <c r="H34" s="94">
        <v>8.2100000000000006E-2</v>
      </c>
      <c r="I34" s="32">
        <v>10500</v>
      </c>
      <c r="J34" s="95">
        <f t="shared" si="0"/>
        <v>862.05000000000007</v>
      </c>
      <c r="K34" s="165" t="s">
        <v>328</v>
      </c>
    </row>
    <row r="35" spans="1:11" ht="27" customHeight="1">
      <c r="A35" s="31" t="s">
        <v>51</v>
      </c>
      <c r="B35" s="31">
        <v>251207</v>
      </c>
      <c r="C35" s="31" t="s">
        <v>52</v>
      </c>
      <c r="D35" s="31" t="s">
        <v>75</v>
      </c>
      <c r="E35" s="31" t="s">
        <v>54</v>
      </c>
      <c r="F35" s="31">
        <v>150</v>
      </c>
      <c r="G35" s="31" t="s">
        <v>76</v>
      </c>
      <c r="H35" s="94">
        <v>4.2000000000000003E-2</v>
      </c>
      <c r="I35" s="32">
        <v>81000</v>
      </c>
      <c r="J35" s="95">
        <f t="shared" si="0"/>
        <v>3402</v>
      </c>
      <c r="K35" s="165" t="s">
        <v>351</v>
      </c>
    </row>
    <row r="36" spans="1:11" ht="27" customHeight="1">
      <c r="A36" s="31" t="s">
        <v>57</v>
      </c>
      <c r="B36" s="31">
        <v>251211</v>
      </c>
      <c r="C36" s="31" t="s">
        <v>77</v>
      </c>
      <c r="D36" s="31" t="s">
        <v>62</v>
      </c>
      <c r="E36" s="31" t="s">
        <v>45</v>
      </c>
      <c r="F36" s="31">
        <v>200</v>
      </c>
      <c r="G36" s="31" t="s">
        <v>78</v>
      </c>
      <c r="H36" s="94">
        <v>2.7400000000000001E-2</v>
      </c>
      <c r="I36" s="32">
        <v>22000</v>
      </c>
      <c r="J36" s="95">
        <f t="shared" si="0"/>
        <v>602.80000000000007</v>
      </c>
      <c r="K36" s="165" t="s">
        <v>305</v>
      </c>
    </row>
    <row r="37" spans="1:11" ht="27" customHeight="1">
      <c r="A37" s="31" t="s">
        <v>51</v>
      </c>
      <c r="B37" s="31">
        <v>251215</v>
      </c>
      <c r="C37" s="31" t="s">
        <v>52</v>
      </c>
      <c r="D37" s="31" t="s">
        <v>79</v>
      </c>
      <c r="E37" s="31" t="s">
        <v>54</v>
      </c>
      <c r="F37" s="31">
        <v>100</v>
      </c>
      <c r="G37" s="31" t="s">
        <v>80</v>
      </c>
      <c r="H37" s="94">
        <v>4.5699999999999998E-2</v>
      </c>
      <c r="I37" s="32">
        <v>10000</v>
      </c>
      <c r="J37" s="95">
        <f t="shared" si="0"/>
        <v>457</v>
      </c>
      <c r="K37" s="165" t="s">
        <v>327</v>
      </c>
    </row>
    <row r="38" spans="1:11" ht="27" customHeight="1">
      <c r="A38" s="31" t="s">
        <v>51</v>
      </c>
      <c r="B38" s="31">
        <v>251215</v>
      </c>
      <c r="C38" s="31" t="s">
        <v>52</v>
      </c>
      <c r="D38" s="31" t="s">
        <v>81</v>
      </c>
      <c r="E38" s="31" t="s">
        <v>54</v>
      </c>
      <c r="F38" s="31">
        <v>150</v>
      </c>
      <c r="G38" s="31" t="s">
        <v>82</v>
      </c>
      <c r="H38" s="94">
        <v>3.5000000000000003E-2</v>
      </c>
      <c r="I38" s="32">
        <v>34500</v>
      </c>
      <c r="J38" s="95">
        <f t="shared" si="0"/>
        <v>1207.5000000000002</v>
      </c>
      <c r="K38" s="165" t="s">
        <v>322</v>
      </c>
    </row>
    <row r="39" spans="1:11" ht="27" customHeight="1">
      <c r="A39" s="31" t="s">
        <v>51</v>
      </c>
      <c r="B39" s="31">
        <v>251215</v>
      </c>
      <c r="C39" s="31" t="s">
        <v>52</v>
      </c>
      <c r="D39" s="31" t="s">
        <v>84</v>
      </c>
      <c r="E39" s="31" t="s">
        <v>54</v>
      </c>
      <c r="F39" s="31">
        <v>150</v>
      </c>
      <c r="G39" s="31" t="s">
        <v>85</v>
      </c>
      <c r="H39" s="94">
        <v>3.5000000000000003E-2</v>
      </c>
      <c r="I39" s="32">
        <v>9000</v>
      </c>
      <c r="J39" s="95">
        <f t="shared" si="0"/>
        <v>315.00000000000006</v>
      </c>
      <c r="K39" s="165" t="s">
        <v>321</v>
      </c>
    </row>
    <row r="40" spans="1:11" ht="27" customHeight="1">
      <c r="A40" s="31" t="s">
        <v>51</v>
      </c>
      <c r="B40" s="31">
        <v>251215</v>
      </c>
      <c r="C40" s="31" t="s">
        <v>52</v>
      </c>
      <c r="D40" s="31" t="s">
        <v>87</v>
      </c>
      <c r="E40" s="31" t="s">
        <v>54</v>
      </c>
      <c r="F40" s="31">
        <v>150</v>
      </c>
      <c r="G40" s="31" t="s">
        <v>63</v>
      </c>
      <c r="H40" s="94">
        <v>2.9499999999999998E-2</v>
      </c>
      <c r="I40" s="32">
        <v>6000</v>
      </c>
      <c r="J40" s="95">
        <f t="shared" si="0"/>
        <v>177</v>
      </c>
      <c r="K40" s="165" t="s">
        <v>317</v>
      </c>
    </row>
    <row r="41" spans="1:11" ht="27" customHeight="1">
      <c r="A41" s="31" t="s">
        <v>51</v>
      </c>
      <c r="B41" s="31" t="s">
        <v>89</v>
      </c>
      <c r="C41" s="31" t="s">
        <v>52</v>
      </c>
      <c r="D41" s="31" t="s">
        <v>90</v>
      </c>
      <c r="E41" s="31" t="s">
        <v>54</v>
      </c>
      <c r="F41" s="31">
        <v>150</v>
      </c>
      <c r="G41" s="31" t="s">
        <v>91</v>
      </c>
      <c r="H41" s="94">
        <v>4.5900000000000003E-2</v>
      </c>
      <c r="I41" s="32">
        <v>19500</v>
      </c>
      <c r="J41" s="95">
        <f t="shared" si="0"/>
        <v>895.05000000000007</v>
      </c>
      <c r="K41" s="165" t="s">
        <v>331</v>
      </c>
    </row>
    <row r="42" spans="1:11" ht="27" customHeight="1">
      <c r="A42" s="31" t="s">
        <v>51</v>
      </c>
      <c r="B42" s="31" t="s">
        <v>89</v>
      </c>
      <c r="C42" s="31" t="s">
        <v>52</v>
      </c>
      <c r="D42" s="31" t="s">
        <v>90</v>
      </c>
      <c r="E42" s="31" t="s">
        <v>54</v>
      </c>
      <c r="F42" s="31">
        <v>150</v>
      </c>
      <c r="G42" s="31" t="s">
        <v>91</v>
      </c>
      <c r="H42" s="94">
        <v>4.5900000000000003E-2</v>
      </c>
      <c r="I42" s="32">
        <v>1350</v>
      </c>
      <c r="J42" s="95">
        <f t="shared" si="0"/>
        <v>61.965000000000003</v>
      </c>
      <c r="K42" s="165" t="s">
        <v>331</v>
      </c>
    </row>
    <row r="43" spans="1:11" ht="27" customHeight="1">
      <c r="A43" s="31" t="s">
        <v>51</v>
      </c>
      <c r="B43" s="31">
        <v>260124</v>
      </c>
      <c r="C43" s="31" t="s">
        <v>52</v>
      </c>
      <c r="D43" s="31" t="s">
        <v>67</v>
      </c>
      <c r="E43" s="31" t="s">
        <v>54</v>
      </c>
      <c r="F43" s="31">
        <v>150</v>
      </c>
      <c r="G43" s="31" t="s">
        <v>63</v>
      </c>
      <c r="H43" s="94">
        <v>2.81E-2</v>
      </c>
      <c r="I43" s="32">
        <v>19500</v>
      </c>
      <c r="J43" s="95">
        <f t="shared" si="0"/>
        <v>547.95000000000005</v>
      </c>
      <c r="K43" s="165" t="s">
        <v>306</v>
      </c>
    </row>
    <row r="44" spans="1:11" ht="27" customHeight="1">
      <c r="A44" s="31" t="s">
        <v>93</v>
      </c>
      <c r="B44" s="31">
        <v>260124</v>
      </c>
      <c r="C44" s="31" t="s">
        <v>66</v>
      </c>
      <c r="D44" s="31" t="s">
        <v>67</v>
      </c>
      <c r="E44" s="31" t="s">
        <v>54</v>
      </c>
      <c r="F44" s="31">
        <v>25</v>
      </c>
      <c r="G44" s="31" t="s">
        <v>94</v>
      </c>
      <c r="H44" s="94">
        <v>4.1117999999999997</v>
      </c>
      <c r="I44" s="32">
        <v>100</v>
      </c>
      <c r="J44" s="95">
        <f t="shared" si="0"/>
        <v>411.17999999999995</v>
      </c>
      <c r="K44" s="165" t="s">
        <v>300</v>
      </c>
    </row>
    <row r="45" spans="1:11" ht="27" customHeight="1">
      <c r="A45" s="31" t="s">
        <v>96</v>
      </c>
      <c r="B45" s="31">
        <v>260124</v>
      </c>
      <c r="C45" s="31" t="s">
        <v>66</v>
      </c>
      <c r="D45" s="31" t="s">
        <v>67</v>
      </c>
      <c r="E45" s="31" t="s">
        <v>54</v>
      </c>
      <c r="F45" s="31">
        <v>25</v>
      </c>
      <c r="G45" s="31" t="s">
        <v>97</v>
      </c>
      <c r="H45" s="94">
        <v>4.1117999999999997</v>
      </c>
      <c r="I45" s="32">
        <v>100</v>
      </c>
      <c r="J45" s="95">
        <f t="shared" si="0"/>
        <v>411.17999999999995</v>
      </c>
      <c r="K45" s="165" t="s">
        <v>299</v>
      </c>
    </row>
    <row r="46" spans="1:11" ht="27" customHeight="1">
      <c r="A46" s="31" t="s">
        <v>51</v>
      </c>
      <c r="B46" s="31">
        <v>260129</v>
      </c>
      <c r="C46" s="31" t="s">
        <v>52</v>
      </c>
      <c r="D46" s="31" t="s">
        <v>98</v>
      </c>
      <c r="E46" s="31" t="s">
        <v>99</v>
      </c>
      <c r="F46" s="31"/>
      <c r="G46" s="31" t="s">
        <v>100</v>
      </c>
      <c r="H46" s="94">
        <v>3.4700000000000002E-2</v>
      </c>
      <c r="I46" s="32">
        <v>50000</v>
      </c>
      <c r="J46" s="95">
        <f t="shared" si="0"/>
        <v>1735</v>
      </c>
      <c r="K46" s="165" t="s">
        <v>318</v>
      </c>
    </row>
    <row r="47" spans="1:11" ht="27" customHeight="1">
      <c r="A47" s="31" t="s">
        <v>102</v>
      </c>
      <c r="B47" s="31">
        <v>260129</v>
      </c>
      <c r="C47" s="31" t="s">
        <v>103</v>
      </c>
      <c r="D47" s="31" t="s">
        <v>62</v>
      </c>
      <c r="E47" s="31" t="s">
        <v>104</v>
      </c>
      <c r="F47" s="31">
        <v>50</v>
      </c>
      <c r="G47" s="31" t="s">
        <v>105</v>
      </c>
      <c r="H47" s="94">
        <v>6.2700000000000006E-2</v>
      </c>
      <c r="I47" s="32">
        <v>2000</v>
      </c>
      <c r="J47" s="95">
        <f t="shared" si="0"/>
        <v>125.4</v>
      </c>
      <c r="K47" s="165" t="s">
        <v>311</v>
      </c>
    </row>
    <row r="48" spans="1:11" ht="27" customHeight="1">
      <c r="A48" s="31" t="s">
        <v>102</v>
      </c>
      <c r="B48" s="31">
        <v>260129</v>
      </c>
      <c r="C48" s="31" t="s">
        <v>103</v>
      </c>
      <c r="D48" s="31" t="s">
        <v>62</v>
      </c>
      <c r="E48" s="31" t="s">
        <v>104</v>
      </c>
      <c r="F48" s="31">
        <v>50</v>
      </c>
      <c r="G48" s="31" t="s">
        <v>105</v>
      </c>
      <c r="H48" s="94">
        <v>6.2700000000000006E-2</v>
      </c>
      <c r="I48" s="32">
        <v>900</v>
      </c>
      <c r="J48" s="95">
        <f t="shared" si="0"/>
        <v>56.430000000000007</v>
      </c>
      <c r="K48" s="165" t="s">
        <v>311</v>
      </c>
    </row>
    <row r="49" spans="1:11" ht="27" customHeight="1">
      <c r="A49" s="31" t="s">
        <v>107</v>
      </c>
      <c r="B49" s="31">
        <v>260129</v>
      </c>
      <c r="C49" s="31" t="s">
        <v>108</v>
      </c>
      <c r="D49" s="31" t="s">
        <v>109</v>
      </c>
      <c r="E49" s="31" t="s">
        <v>45</v>
      </c>
      <c r="F49" s="31">
        <v>150</v>
      </c>
      <c r="G49" s="31" t="s">
        <v>110</v>
      </c>
      <c r="H49" s="94">
        <v>4.0500000000000001E-2</v>
      </c>
      <c r="I49" s="32">
        <v>33000</v>
      </c>
      <c r="J49" s="95">
        <f t="shared" si="0"/>
        <v>1336.5</v>
      </c>
      <c r="K49" s="165" t="s">
        <v>332</v>
      </c>
    </row>
    <row r="50" spans="1:11" ht="27" customHeight="1">
      <c r="A50" s="31" t="s">
        <v>51</v>
      </c>
      <c r="B50" s="31">
        <v>260129</v>
      </c>
      <c r="C50" s="31" t="s">
        <v>52</v>
      </c>
      <c r="D50" s="31" t="s">
        <v>62</v>
      </c>
      <c r="E50" s="31" t="s">
        <v>54</v>
      </c>
      <c r="F50" s="31">
        <v>150</v>
      </c>
      <c r="G50" s="31" t="s">
        <v>85</v>
      </c>
      <c r="H50" s="94">
        <v>3.5000000000000003E-2</v>
      </c>
      <c r="I50" s="32">
        <v>81000</v>
      </c>
      <c r="J50" s="95">
        <f t="shared" si="0"/>
        <v>2835.0000000000005</v>
      </c>
      <c r="K50" s="165" t="s">
        <v>303</v>
      </c>
    </row>
    <row r="51" spans="1:11" ht="27" customHeight="1">
      <c r="A51" s="31" t="s">
        <v>51</v>
      </c>
      <c r="B51" s="31">
        <v>260129</v>
      </c>
      <c r="C51" s="31" t="s">
        <v>52</v>
      </c>
      <c r="D51" s="31" t="s">
        <v>112</v>
      </c>
      <c r="E51" s="31" t="s">
        <v>54</v>
      </c>
      <c r="F51" s="31">
        <v>150</v>
      </c>
      <c r="G51" s="31" t="s">
        <v>85</v>
      </c>
      <c r="H51" s="94">
        <v>3.5000000000000003E-2</v>
      </c>
      <c r="I51" s="32">
        <v>46500</v>
      </c>
      <c r="J51" s="95">
        <f t="shared" si="0"/>
        <v>1627.5000000000002</v>
      </c>
      <c r="K51" s="165" t="s">
        <v>307</v>
      </c>
    </row>
    <row r="52" spans="1:11" ht="27" customHeight="1">
      <c r="A52" s="31" t="s">
        <v>51</v>
      </c>
      <c r="B52" s="31">
        <v>260129</v>
      </c>
      <c r="C52" s="31" t="s">
        <v>52</v>
      </c>
      <c r="D52" s="31" t="s">
        <v>113</v>
      </c>
      <c r="E52" s="31" t="s">
        <v>45</v>
      </c>
      <c r="F52" s="31">
        <v>300</v>
      </c>
      <c r="G52" s="31" t="s">
        <v>85</v>
      </c>
      <c r="H52" s="94">
        <v>3.5000000000000003E-2</v>
      </c>
      <c r="I52" s="32">
        <v>36000</v>
      </c>
      <c r="J52" s="95">
        <f t="shared" si="0"/>
        <v>1260.0000000000002</v>
      </c>
      <c r="K52" s="165" t="s">
        <v>329</v>
      </c>
    </row>
    <row r="53" spans="1:11" ht="27" customHeight="1">
      <c r="A53" s="31" t="s">
        <v>115</v>
      </c>
      <c r="B53" s="31">
        <v>260129</v>
      </c>
      <c r="C53" s="31" t="s">
        <v>103</v>
      </c>
      <c r="D53" s="31" t="s">
        <v>116</v>
      </c>
      <c r="E53" s="31" t="s">
        <v>54</v>
      </c>
      <c r="F53" s="31">
        <v>100</v>
      </c>
      <c r="G53" s="31" t="s">
        <v>117</v>
      </c>
      <c r="H53" s="94">
        <v>8.6999999999999994E-2</v>
      </c>
      <c r="I53" s="32">
        <v>5000</v>
      </c>
      <c r="J53" s="95">
        <f t="shared" si="0"/>
        <v>434.99999999999994</v>
      </c>
      <c r="K53" s="165" t="s">
        <v>290</v>
      </c>
    </row>
    <row r="54" spans="1:11" ht="27" customHeight="1">
      <c r="A54" s="31" t="s">
        <v>51</v>
      </c>
      <c r="B54" s="31">
        <v>260204</v>
      </c>
      <c r="C54" s="31" t="s">
        <v>52</v>
      </c>
      <c r="D54" s="31" t="s">
        <v>119</v>
      </c>
      <c r="E54" s="31" t="s">
        <v>54</v>
      </c>
      <c r="F54" s="31">
        <v>150</v>
      </c>
      <c r="G54" s="31" t="s">
        <v>120</v>
      </c>
      <c r="H54" s="94">
        <v>4.2000000000000003E-2</v>
      </c>
      <c r="I54" s="32">
        <v>81000</v>
      </c>
      <c r="J54" s="95">
        <f t="shared" si="0"/>
        <v>3402</v>
      </c>
      <c r="K54" s="165" t="s">
        <v>344</v>
      </c>
    </row>
    <row r="55" spans="1:11" ht="27" customHeight="1">
      <c r="A55" s="31" t="s">
        <v>121</v>
      </c>
      <c r="B55" s="31">
        <v>260204</v>
      </c>
      <c r="C55" s="31" t="s">
        <v>66</v>
      </c>
      <c r="D55" s="31" t="s">
        <v>62</v>
      </c>
      <c r="E55" s="31" t="s">
        <v>54</v>
      </c>
      <c r="F55" s="31">
        <v>50</v>
      </c>
      <c r="G55" s="31" t="s">
        <v>122</v>
      </c>
      <c r="H55" s="94">
        <v>8.5999999999999993E-2</v>
      </c>
      <c r="I55" s="32">
        <v>10000</v>
      </c>
      <c r="J55" s="95">
        <f t="shared" si="0"/>
        <v>859.99999999999989</v>
      </c>
      <c r="K55" s="165" t="s">
        <v>333</v>
      </c>
    </row>
    <row r="56" spans="1:11" ht="27" customHeight="1">
      <c r="A56" s="31" t="s">
        <v>102</v>
      </c>
      <c r="B56" s="31">
        <v>260213</v>
      </c>
      <c r="C56" s="31" t="s">
        <v>123</v>
      </c>
      <c r="D56" s="31" t="s">
        <v>67</v>
      </c>
      <c r="E56" s="31" t="s">
        <v>104</v>
      </c>
      <c r="F56" s="31">
        <v>50</v>
      </c>
      <c r="G56" s="31" t="s">
        <v>124</v>
      </c>
      <c r="H56" s="94">
        <v>8.3199999999999996E-2</v>
      </c>
      <c r="I56" s="32">
        <v>1500</v>
      </c>
      <c r="J56" s="95">
        <f t="shared" si="0"/>
        <v>124.8</v>
      </c>
      <c r="K56" s="165" t="s">
        <v>336</v>
      </c>
    </row>
    <row r="57" spans="1:11" ht="27" customHeight="1">
      <c r="A57" s="31" t="s">
        <v>126</v>
      </c>
      <c r="B57" s="31" t="s">
        <v>127</v>
      </c>
      <c r="C57" s="31" t="s">
        <v>103</v>
      </c>
      <c r="D57" s="31" t="s">
        <v>128</v>
      </c>
      <c r="E57" s="31" t="s">
        <v>54</v>
      </c>
      <c r="F57" s="31">
        <v>50</v>
      </c>
      <c r="G57" s="31" t="s">
        <v>129</v>
      </c>
      <c r="H57" s="94">
        <v>0.14499999999999999</v>
      </c>
      <c r="I57" s="32">
        <v>3500</v>
      </c>
      <c r="J57" s="95">
        <f t="shared" si="0"/>
        <v>507.49999999999994</v>
      </c>
      <c r="K57" s="165" t="s">
        <v>358</v>
      </c>
    </row>
    <row r="58" spans="1:11" ht="27" customHeight="1">
      <c r="A58" s="31" t="s">
        <v>126</v>
      </c>
      <c r="B58" s="31" t="s">
        <v>127</v>
      </c>
      <c r="C58" s="31" t="s">
        <v>103</v>
      </c>
      <c r="D58" s="31" t="s">
        <v>128</v>
      </c>
      <c r="E58" s="31" t="s">
        <v>54</v>
      </c>
      <c r="F58" s="31">
        <v>50</v>
      </c>
      <c r="G58" s="31" t="s">
        <v>129</v>
      </c>
      <c r="H58" s="94">
        <v>0.14499999999999999</v>
      </c>
      <c r="I58" s="32">
        <v>350</v>
      </c>
      <c r="J58" s="95">
        <f t="shared" si="0"/>
        <v>50.75</v>
      </c>
      <c r="K58" s="165" t="s">
        <v>358</v>
      </c>
    </row>
    <row r="59" spans="1:11" ht="27" customHeight="1">
      <c r="A59" s="31" t="s">
        <v>132</v>
      </c>
      <c r="B59" s="31" t="s">
        <v>127</v>
      </c>
      <c r="C59" s="31" t="s">
        <v>133</v>
      </c>
      <c r="D59" s="31" t="s">
        <v>128</v>
      </c>
      <c r="E59" s="31" t="s">
        <v>54</v>
      </c>
      <c r="F59" s="31">
        <v>50</v>
      </c>
      <c r="G59" s="31" t="s">
        <v>134</v>
      </c>
      <c r="H59" s="94">
        <v>0.185</v>
      </c>
      <c r="I59" s="32">
        <v>9000</v>
      </c>
      <c r="J59" s="95">
        <f t="shared" si="0"/>
        <v>1665</v>
      </c>
      <c r="K59" s="165" t="s">
        <v>357</v>
      </c>
    </row>
    <row r="60" spans="1:11" ht="27" customHeight="1">
      <c r="A60" s="31" t="s">
        <v>115</v>
      </c>
      <c r="B60" s="31">
        <v>260225</v>
      </c>
      <c r="C60" s="31" t="s">
        <v>66</v>
      </c>
      <c r="D60" s="31" t="s">
        <v>136</v>
      </c>
      <c r="E60" s="31" t="s">
        <v>54</v>
      </c>
      <c r="F60" s="31">
        <v>100</v>
      </c>
      <c r="G60" s="31" t="s">
        <v>137</v>
      </c>
      <c r="H60" s="94">
        <v>0.25290000000000001</v>
      </c>
      <c r="I60" s="32">
        <v>3600</v>
      </c>
      <c r="J60" s="95">
        <f t="shared" si="0"/>
        <v>910.44</v>
      </c>
      <c r="K60" s="165" t="s">
        <v>302</v>
      </c>
    </row>
    <row r="61" spans="1:11" ht="27" customHeight="1">
      <c r="A61" s="31" t="s">
        <v>139</v>
      </c>
      <c r="B61" s="31">
        <v>260225</v>
      </c>
      <c r="C61" s="31" t="s">
        <v>103</v>
      </c>
      <c r="D61" s="31" t="s">
        <v>140</v>
      </c>
      <c r="E61" s="31" t="s">
        <v>54</v>
      </c>
      <c r="F61" s="31">
        <v>50</v>
      </c>
      <c r="G61" s="31" t="s">
        <v>141</v>
      </c>
      <c r="H61" s="94">
        <v>4.4499999999999998E-2</v>
      </c>
      <c r="I61" s="32">
        <v>2000</v>
      </c>
      <c r="J61" s="95">
        <f t="shared" si="0"/>
        <v>89</v>
      </c>
      <c r="K61" s="165" t="s">
        <v>324</v>
      </c>
    </row>
    <row r="62" spans="1:11" ht="27" customHeight="1">
      <c r="A62" s="31" t="s">
        <v>139</v>
      </c>
      <c r="B62" s="31">
        <v>260225</v>
      </c>
      <c r="C62" s="31" t="s">
        <v>103</v>
      </c>
      <c r="D62" s="31" t="s">
        <v>140</v>
      </c>
      <c r="E62" s="31" t="s">
        <v>54</v>
      </c>
      <c r="F62" s="31">
        <v>50</v>
      </c>
      <c r="G62" s="31" t="s">
        <v>141</v>
      </c>
      <c r="H62" s="94">
        <v>4.4499999999999998E-2</v>
      </c>
      <c r="I62" s="32">
        <v>800</v>
      </c>
      <c r="J62" s="95">
        <f t="shared" si="0"/>
        <v>35.6</v>
      </c>
      <c r="K62" s="165" t="s">
        <v>324</v>
      </c>
    </row>
    <row r="63" spans="1:11" ht="27" customHeight="1">
      <c r="A63" s="31" t="s">
        <v>51</v>
      </c>
      <c r="B63" s="31">
        <v>260225</v>
      </c>
      <c r="C63" s="31" t="s">
        <v>52</v>
      </c>
      <c r="D63" s="31" t="s">
        <v>144</v>
      </c>
      <c r="E63" s="31" t="s">
        <v>54</v>
      </c>
      <c r="F63" s="31">
        <v>150</v>
      </c>
      <c r="G63" s="31" t="s">
        <v>145</v>
      </c>
      <c r="H63" s="94">
        <v>3.5499999999999997E-2</v>
      </c>
      <c r="I63" s="32">
        <v>81000</v>
      </c>
      <c r="J63" s="95">
        <f t="shared" si="0"/>
        <v>2875.4999999999995</v>
      </c>
      <c r="K63" s="165" t="s">
        <v>297</v>
      </c>
    </row>
    <row r="64" spans="1:11" ht="27" customHeight="1">
      <c r="A64" s="31" t="s">
        <v>51</v>
      </c>
      <c r="B64" s="31">
        <v>260225</v>
      </c>
      <c r="C64" s="31" t="s">
        <v>52</v>
      </c>
      <c r="D64" s="31" t="s">
        <v>146</v>
      </c>
      <c r="E64" s="31" t="s">
        <v>54</v>
      </c>
      <c r="F64" s="31">
        <v>100</v>
      </c>
      <c r="G64" s="31" t="s">
        <v>147</v>
      </c>
      <c r="H64" s="94">
        <v>7.8E-2</v>
      </c>
      <c r="I64" s="32">
        <v>32000</v>
      </c>
      <c r="J64" s="95">
        <f t="shared" si="0"/>
        <v>2496</v>
      </c>
      <c r="K64" s="165" t="s">
        <v>326</v>
      </c>
    </row>
    <row r="65" spans="1:11" ht="27" customHeight="1">
      <c r="A65" s="31" t="s">
        <v>139</v>
      </c>
      <c r="B65" s="31">
        <v>260226</v>
      </c>
      <c r="C65" s="31" t="s">
        <v>103</v>
      </c>
      <c r="D65" s="31" t="s">
        <v>67</v>
      </c>
      <c r="E65" s="31" t="s">
        <v>99</v>
      </c>
      <c r="F65" s="31"/>
      <c r="G65" s="31" t="s">
        <v>148</v>
      </c>
      <c r="H65" s="94">
        <v>3.2800000000000003E-2</v>
      </c>
      <c r="I65" s="32">
        <v>5000</v>
      </c>
      <c r="J65" s="95">
        <f t="shared" si="0"/>
        <v>164</v>
      </c>
      <c r="K65" s="165" t="s">
        <v>325</v>
      </c>
    </row>
    <row r="66" spans="1:11" ht="27" customHeight="1">
      <c r="A66" s="31" t="s">
        <v>57</v>
      </c>
      <c r="B66" s="31">
        <v>260226</v>
      </c>
      <c r="C66" s="31" t="s">
        <v>58</v>
      </c>
      <c r="D66" s="31" t="s">
        <v>62</v>
      </c>
      <c r="E66" s="31" t="s">
        <v>45</v>
      </c>
      <c r="F66" s="31">
        <v>200</v>
      </c>
      <c r="G66" s="31" t="s">
        <v>60</v>
      </c>
      <c r="H66" s="94">
        <v>3.2199999999999999E-2</v>
      </c>
      <c r="I66" s="32">
        <v>24000</v>
      </c>
      <c r="J66" s="95">
        <f t="shared" si="0"/>
        <v>772.8</v>
      </c>
      <c r="K66" s="165" t="s">
        <v>291</v>
      </c>
    </row>
    <row r="67" spans="1:11" ht="27" customHeight="1">
      <c r="A67" s="31" t="s">
        <v>51</v>
      </c>
      <c r="B67" s="31">
        <v>260225</v>
      </c>
      <c r="C67" s="31" t="s">
        <v>52</v>
      </c>
      <c r="D67" s="31" t="s">
        <v>150</v>
      </c>
      <c r="E67" s="31" t="s">
        <v>54</v>
      </c>
      <c r="F67" s="31">
        <v>150</v>
      </c>
      <c r="G67" s="31" t="s">
        <v>151</v>
      </c>
      <c r="H67" s="94">
        <v>4.65E-2</v>
      </c>
      <c r="I67" s="32">
        <v>16500</v>
      </c>
      <c r="J67" s="95">
        <f t="shared" si="0"/>
        <v>767.25</v>
      </c>
      <c r="K67" s="165" t="s">
        <v>297</v>
      </c>
    </row>
    <row r="68" spans="1:11" ht="27" customHeight="1">
      <c r="A68" s="31" t="s">
        <v>51</v>
      </c>
      <c r="B68" s="31">
        <v>260226</v>
      </c>
      <c r="C68" s="31" t="s">
        <v>52</v>
      </c>
      <c r="D68" s="31" t="s">
        <v>153</v>
      </c>
      <c r="E68" s="31" t="s">
        <v>54</v>
      </c>
      <c r="F68" s="31">
        <v>150</v>
      </c>
      <c r="G68" s="31" t="s">
        <v>154</v>
      </c>
      <c r="H68" s="94">
        <v>4.5900000000000003E-2</v>
      </c>
      <c r="I68" s="32">
        <v>51000</v>
      </c>
      <c r="J68" s="95">
        <f t="shared" si="0"/>
        <v>2340.9</v>
      </c>
      <c r="K68" s="165" t="s">
        <v>314</v>
      </c>
    </row>
    <row r="69" spans="1:11" ht="27" customHeight="1">
      <c r="A69" s="31" t="s">
        <v>51</v>
      </c>
      <c r="B69" s="31">
        <v>260226</v>
      </c>
      <c r="C69" s="31" t="s">
        <v>52</v>
      </c>
      <c r="D69" s="31" t="s">
        <v>113</v>
      </c>
      <c r="E69" s="31" t="s">
        <v>54</v>
      </c>
      <c r="F69" s="31">
        <v>150</v>
      </c>
      <c r="G69" s="31" t="s">
        <v>85</v>
      </c>
      <c r="H69" s="94">
        <v>3.5000000000000003E-2</v>
      </c>
      <c r="I69" s="32">
        <v>81000</v>
      </c>
      <c r="J69" s="95">
        <f t="shared" si="0"/>
        <v>2835.0000000000005</v>
      </c>
      <c r="K69" s="165" t="s">
        <v>298</v>
      </c>
    </row>
    <row r="70" spans="1:11" ht="27" customHeight="1">
      <c r="A70" s="31" t="s">
        <v>156</v>
      </c>
      <c r="B70" s="31" t="s">
        <v>157</v>
      </c>
      <c r="C70" s="31" t="s">
        <v>158</v>
      </c>
      <c r="D70" s="31" t="s">
        <v>159</v>
      </c>
      <c r="E70" s="31" t="s">
        <v>54</v>
      </c>
      <c r="F70" s="31">
        <v>50</v>
      </c>
      <c r="G70" s="31" t="s">
        <v>160</v>
      </c>
      <c r="H70" s="94">
        <v>0.18290000000000001</v>
      </c>
      <c r="I70" s="32">
        <v>1000</v>
      </c>
      <c r="J70" s="95">
        <f t="shared" si="0"/>
        <v>182.9</v>
      </c>
      <c r="K70" s="165" t="s">
        <v>315</v>
      </c>
    </row>
    <row r="71" spans="1:11" ht="27" customHeight="1">
      <c r="A71" s="31" t="s">
        <v>51</v>
      </c>
      <c r="B71" s="31" t="s">
        <v>161</v>
      </c>
      <c r="C71" s="31" t="s">
        <v>52</v>
      </c>
      <c r="D71" s="31" t="s">
        <v>150</v>
      </c>
      <c r="E71" s="31" t="s">
        <v>54</v>
      </c>
      <c r="F71" s="31">
        <v>150</v>
      </c>
      <c r="G71" s="31" t="s">
        <v>151</v>
      </c>
      <c r="H71" s="94">
        <v>4.65E-2</v>
      </c>
      <c r="I71" s="32">
        <v>22500</v>
      </c>
      <c r="J71" s="95">
        <f t="shared" si="0"/>
        <v>1046.25</v>
      </c>
      <c r="K71" s="165" t="s">
        <v>343</v>
      </c>
    </row>
    <row r="72" spans="1:11" ht="27" customHeight="1">
      <c r="A72" s="31" t="s">
        <v>51</v>
      </c>
      <c r="B72" s="31" t="s">
        <v>161</v>
      </c>
      <c r="C72" s="31" t="s">
        <v>52</v>
      </c>
      <c r="D72" s="31" t="s">
        <v>90</v>
      </c>
      <c r="E72" s="31" t="s">
        <v>54</v>
      </c>
      <c r="F72" s="31">
        <v>150</v>
      </c>
      <c r="G72" s="31" t="s">
        <v>91</v>
      </c>
      <c r="H72" s="94">
        <v>4.5900000000000003E-2</v>
      </c>
      <c r="I72" s="32">
        <v>10500</v>
      </c>
      <c r="J72" s="95">
        <f t="shared" si="0"/>
        <v>481.95000000000005</v>
      </c>
      <c r="K72" s="165" t="s">
        <v>331</v>
      </c>
    </row>
    <row r="73" spans="1:11" ht="27" customHeight="1">
      <c r="A73" s="31" t="s">
        <v>162</v>
      </c>
      <c r="B73" s="31" t="s">
        <v>161</v>
      </c>
      <c r="C73" s="31" t="s">
        <v>158</v>
      </c>
      <c r="D73" s="31" t="s">
        <v>62</v>
      </c>
      <c r="E73" s="31" t="s">
        <v>54</v>
      </c>
      <c r="F73" s="31">
        <v>100</v>
      </c>
      <c r="G73" s="31" t="s">
        <v>163</v>
      </c>
      <c r="H73" s="94">
        <v>0.13600000000000001</v>
      </c>
      <c r="I73" s="32">
        <v>3000</v>
      </c>
      <c r="J73" s="95">
        <f t="shared" si="0"/>
        <v>408.00000000000006</v>
      </c>
      <c r="K73" s="165" t="s">
        <v>312</v>
      </c>
    </row>
    <row r="74" spans="1:11" ht="27" customHeight="1">
      <c r="A74" s="31" t="s">
        <v>162</v>
      </c>
      <c r="B74" s="31" t="s">
        <v>161</v>
      </c>
      <c r="C74" s="31" t="s">
        <v>158</v>
      </c>
      <c r="D74" s="31" t="s">
        <v>62</v>
      </c>
      <c r="E74" s="31" t="s">
        <v>54</v>
      </c>
      <c r="F74" s="31">
        <v>100</v>
      </c>
      <c r="G74" s="31" t="s">
        <v>163</v>
      </c>
      <c r="H74" s="94">
        <v>0.13600000000000001</v>
      </c>
      <c r="I74" s="32">
        <v>500</v>
      </c>
      <c r="J74" s="95">
        <f t="shared" si="0"/>
        <v>68</v>
      </c>
      <c r="K74" s="165" t="s">
        <v>312</v>
      </c>
    </row>
    <row r="75" spans="1:11" ht="27" customHeight="1">
      <c r="A75" s="31" t="s">
        <v>165</v>
      </c>
      <c r="B75" s="31">
        <v>260311</v>
      </c>
      <c r="C75" s="31" t="s">
        <v>66</v>
      </c>
      <c r="D75" s="31" t="s">
        <v>62</v>
      </c>
      <c r="E75" s="31" t="s">
        <v>54</v>
      </c>
      <c r="F75" s="31">
        <v>50</v>
      </c>
      <c r="G75" s="31" t="s">
        <v>166</v>
      </c>
      <c r="H75" s="94">
        <v>0.14630000000000001</v>
      </c>
      <c r="I75" s="32">
        <v>3000</v>
      </c>
      <c r="J75" s="95">
        <f t="shared" si="0"/>
        <v>438.90000000000003</v>
      </c>
      <c r="K75" s="165" t="s">
        <v>285</v>
      </c>
    </row>
    <row r="76" spans="1:11" ht="27" customHeight="1">
      <c r="A76" s="31" t="s">
        <v>165</v>
      </c>
      <c r="B76" s="31">
        <v>260311</v>
      </c>
      <c r="C76" s="31" t="s">
        <v>66</v>
      </c>
      <c r="D76" s="31" t="s">
        <v>62</v>
      </c>
      <c r="E76" s="31" t="s">
        <v>54</v>
      </c>
      <c r="F76" s="31">
        <v>50</v>
      </c>
      <c r="G76" s="31" t="s">
        <v>166</v>
      </c>
      <c r="H76" s="94">
        <v>0.14630000000000001</v>
      </c>
      <c r="I76" s="32">
        <v>450</v>
      </c>
      <c r="J76" s="95">
        <f t="shared" si="0"/>
        <v>65.835000000000008</v>
      </c>
      <c r="K76" s="165" t="s">
        <v>285</v>
      </c>
    </row>
    <row r="77" spans="1:11" ht="27" customHeight="1">
      <c r="A77" s="31" t="s">
        <v>57</v>
      </c>
      <c r="B77" s="31" t="s">
        <v>167</v>
      </c>
      <c r="C77" s="31" t="s">
        <v>168</v>
      </c>
      <c r="D77" s="31" t="s">
        <v>169</v>
      </c>
      <c r="E77" s="31" t="s">
        <v>45</v>
      </c>
      <c r="F77" s="31">
        <v>150</v>
      </c>
      <c r="G77" s="31" t="s">
        <v>170</v>
      </c>
      <c r="H77" s="94">
        <v>3.6499999999999998E-2</v>
      </c>
      <c r="I77" s="32">
        <v>1500</v>
      </c>
      <c r="J77" s="95">
        <f t="shared" si="0"/>
        <v>54.75</v>
      </c>
      <c r="K77" s="165" t="s">
        <v>366</v>
      </c>
    </row>
    <row r="78" spans="1:11" ht="27" customHeight="1">
      <c r="A78" s="31" t="s">
        <v>57</v>
      </c>
      <c r="B78" s="31" t="s">
        <v>167</v>
      </c>
      <c r="C78" s="31" t="s">
        <v>168</v>
      </c>
      <c r="D78" s="31" t="s">
        <v>59</v>
      </c>
      <c r="E78" s="31" t="s">
        <v>45</v>
      </c>
      <c r="F78" s="31">
        <v>150</v>
      </c>
      <c r="G78" s="31" t="s">
        <v>170</v>
      </c>
      <c r="H78" s="94">
        <v>3.6499999999999998E-2</v>
      </c>
      <c r="I78" s="32">
        <v>6000</v>
      </c>
      <c r="J78" s="95">
        <f t="shared" si="0"/>
        <v>219</v>
      </c>
      <c r="K78" s="165" t="s">
        <v>289</v>
      </c>
    </row>
    <row r="79" spans="1:11" ht="27" customHeight="1">
      <c r="A79" s="31" t="s">
        <v>51</v>
      </c>
      <c r="B79" s="31" t="s">
        <v>171</v>
      </c>
      <c r="C79" s="31" t="s">
        <v>52</v>
      </c>
      <c r="D79" s="31" t="s">
        <v>172</v>
      </c>
      <c r="E79" s="31" t="s">
        <v>54</v>
      </c>
      <c r="F79" s="31">
        <v>150</v>
      </c>
      <c r="G79" s="31" t="s">
        <v>173</v>
      </c>
      <c r="H79" s="94">
        <v>3.5000000000000003E-2</v>
      </c>
      <c r="I79" s="32">
        <v>21000</v>
      </c>
      <c r="J79" s="95">
        <f t="shared" si="0"/>
        <v>735.00000000000011</v>
      </c>
      <c r="K79" s="165" t="s">
        <v>354</v>
      </c>
    </row>
    <row r="80" spans="1:11" ht="27" customHeight="1">
      <c r="A80" s="31" t="s">
        <v>57</v>
      </c>
      <c r="B80" s="31" t="s">
        <v>174</v>
      </c>
      <c r="C80" s="31" t="s">
        <v>58</v>
      </c>
      <c r="D80" s="31" t="s">
        <v>175</v>
      </c>
      <c r="E80" s="31" t="s">
        <v>45</v>
      </c>
      <c r="F80" s="31">
        <v>200</v>
      </c>
      <c r="G80" s="31" t="s">
        <v>60</v>
      </c>
      <c r="H80" s="94">
        <v>3.2199999999999999E-2</v>
      </c>
      <c r="I80" s="32">
        <v>6000</v>
      </c>
      <c r="J80" s="95">
        <f t="shared" si="0"/>
        <v>193.2</v>
      </c>
      <c r="K80" s="165" t="s">
        <v>348</v>
      </c>
    </row>
    <row r="81" spans="1:11" ht="27" customHeight="1">
      <c r="A81" s="31" t="s">
        <v>51</v>
      </c>
      <c r="B81" s="31" t="s">
        <v>176</v>
      </c>
      <c r="C81" s="31" t="s">
        <v>52</v>
      </c>
      <c r="D81" s="31" t="s">
        <v>177</v>
      </c>
      <c r="E81" s="31" t="s">
        <v>54</v>
      </c>
      <c r="F81" s="31">
        <v>150</v>
      </c>
      <c r="G81" s="31" t="s">
        <v>178</v>
      </c>
      <c r="H81" s="94">
        <v>5.7500000000000002E-2</v>
      </c>
      <c r="I81" s="32">
        <v>9000</v>
      </c>
      <c r="J81" s="95">
        <f t="shared" si="0"/>
        <v>517.5</v>
      </c>
      <c r="K81" s="165" t="s">
        <v>345</v>
      </c>
    </row>
    <row r="82" spans="1:11" ht="27" customHeight="1">
      <c r="A82" s="31" t="s">
        <v>51</v>
      </c>
      <c r="B82" s="31" t="s">
        <v>176</v>
      </c>
      <c r="C82" s="31" t="s">
        <v>52</v>
      </c>
      <c r="D82" s="31" t="s">
        <v>177</v>
      </c>
      <c r="E82" s="31" t="s">
        <v>54</v>
      </c>
      <c r="F82" s="31">
        <v>150</v>
      </c>
      <c r="G82" s="31" t="s">
        <v>178</v>
      </c>
      <c r="H82" s="94">
        <v>5.7500000000000002E-2</v>
      </c>
      <c r="I82" s="32">
        <v>1200</v>
      </c>
      <c r="J82" s="95">
        <f t="shared" si="0"/>
        <v>69</v>
      </c>
      <c r="K82" s="165" t="s">
        <v>345</v>
      </c>
    </row>
    <row r="83" spans="1:11" ht="27" customHeight="1">
      <c r="A83" s="31" t="s">
        <v>181</v>
      </c>
      <c r="B83" s="31">
        <v>260327</v>
      </c>
      <c r="C83" s="31" t="s">
        <v>182</v>
      </c>
      <c r="D83" s="31" t="s">
        <v>67</v>
      </c>
      <c r="E83" s="31" t="s">
        <v>45</v>
      </c>
      <c r="F83" s="31">
        <v>100</v>
      </c>
      <c r="G83" s="31" t="s">
        <v>183</v>
      </c>
      <c r="H83" s="94">
        <v>4.3099999999999999E-2</v>
      </c>
      <c r="I83" s="32">
        <v>3000</v>
      </c>
      <c r="J83" s="95">
        <f t="shared" si="0"/>
        <v>129.30000000000001</v>
      </c>
      <c r="K83" s="165" t="s">
        <v>335</v>
      </c>
    </row>
    <row r="84" spans="1:11" ht="27" customHeight="1">
      <c r="A84" s="31" t="s">
        <v>181</v>
      </c>
      <c r="B84" s="31">
        <v>260327</v>
      </c>
      <c r="C84" s="31" t="s">
        <v>182</v>
      </c>
      <c r="D84" s="31" t="s">
        <v>67</v>
      </c>
      <c r="E84" s="31" t="s">
        <v>45</v>
      </c>
      <c r="F84" s="31">
        <v>100</v>
      </c>
      <c r="G84" s="31" t="s">
        <v>183</v>
      </c>
      <c r="H84" s="94">
        <v>4.3099999999999999E-2</v>
      </c>
      <c r="I84" s="32">
        <v>1200</v>
      </c>
      <c r="J84" s="95">
        <f t="shared" si="0"/>
        <v>51.72</v>
      </c>
      <c r="K84" s="165" t="s">
        <v>335</v>
      </c>
    </row>
    <row r="85" spans="1:11" ht="27" customHeight="1">
      <c r="A85" s="31" t="s">
        <v>57</v>
      </c>
      <c r="B85" s="31">
        <v>260327</v>
      </c>
      <c r="C85" s="31" t="s">
        <v>58</v>
      </c>
      <c r="D85" s="31" t="s">
        <v>185</v>
      </c>
      <c r="E85" s="31" t="s">
        <v>45</v>
      </c>
      <c r="F85" s="31">
        <v>200</v>
      </c>
      <c r="G85" s="31" t="s">
        <v>60</v>
      </c>
      <c r="H85" s="94">
        <v>3.2199999999999999E-2</v>
      </c>
      <c r="I85" s="32">
        <v>2000</v>
      </c>
      <c r="J85" s="95">
        <f t="shared" si="0"/>
        <v>64.400000000000006</v>
      </c>
      <c r="K85" s="165" t="s">
        <v>330</v>
      </c>
    </row>
    <row r="86" spans="1:11" ht="27" customHeight="1">
      <c r="A86" s="31" t="s">
        <v>186</v>
      </c>
      <c r="B86" s="31">
        <v>260327</v>
      </c>
      <c r="C86" s="31" t="s">
        <v>187</v>
      </c>
      <c r="D86" s="31" t="s">
        <v>62</v>
      </c>
      <c r="E86" s="31" t="s">
        <v>54</v>
      </c>
      <c r="F86" s="31">
        <v>50</v>
      </c>
      <c r="G86" s="31" t="s">
        <v>188</v>
      </c>
      <c r="H86" s="94">
        <v>0.1232</v>
      </c>
      <c r="I86" s="32">
        <v>1500</v>
      </c>
      <c r="J86" s="95">
        <f t="shared" si="0"/>
        <v>184.8</v>
      </c>
      <c r="K86" s="165" t="s">
        <v>188</v>
      </c>
    </row>
    <row r="87" spans="1:11" ht="27" customHeight="1">
      <c r="A87" s="31" t="s">
        <v>186</v>
      </c>
      <c r="B87" s="31">
        <v>260327</v>
      </c>
      <c r="C87" s="31" t="s">
        <v>187</v>
      </c>
      <c r="D87" s="31" t="s">
        <v>62</v>
      </c>
      <c r="E87" s="31" t="s">
        <v>54</v>
      </c>
      <c r="F87" s="31">
        <v>50</v>
      </c>
      <c r="G87" s="31" t="s">
        <v>188</v>
      </c>
      <c r="H87" s="94">
        <v>0.1232</v>
      </c>
      <c r="I87" s="32">
        <v>450</v>
      </c>
      <c r="J87" s="95">
        <f t="shared" si="0"/>
        <v>55.440000000000005</v>
      </c>
      <c r="K87" s="165" t="s">
        <v>188</v>
      </c>
    </row>
    <row r="88" spans="1:11" ht="27" customHeight="1">
      <c r="A88" s="31" t="s">
        <v>190</v>
      </c>
      <c r="B88" s="31">
        <v>260327</v>
      </c>
      <c r="C88" s="31" t="s">
        <v>191</v>
      </c>
      <c r="D88" s="31" t="s">
        <v>192</v>
      </c>
      <c r="E88" s="31" t="s">
        <v>45</v>
      </c>
      <c r="F88" s="31">
        <v>100</v>
      </c>
      <c r="G88" s="31" t="s">
        <v>193</v>
      </c>
      <c r="H88" s="94">
        <v>3.7499999999999999E-2</v>
      </c>
      <c r="I88" s="32">
        <v>2000</v>
      </c>
      <c r="J88" s="95">
        <f t="shared" si="0"/>
        <v>75</v>
      </c>
      <c r="K88" s="165" t="s">
        <v>309</v>
      </c>
    </row>
    <row r="89" spans="1:11" ht="27" customHeight="1">
      <c r="A89" s="31" t="s">
        <v>51</v>
      </c>
      <c r="B89" s="31">
        <v>260327</v>
      </c>
      <c r="C89" s="31" t="s">
        <v>52</v>
      </c>
      <c r="D89" s="31" t="s">
        <v>195</v>
      </c>
      <c r="E89" s="31" t="s">
        <v>54</v>
      </c>
      <c r="F89" s="31">
        <v>100</v>
      </c>
      <c r="G89" s="31" t="s">
        <v>55</v>
      </c>
      <c r="H89" s="94">
        <v>5.7500000000000002E-2</v>
      </c>
      <c r="I89" s="32">
        <v>11000</v>
      </c>
      <c r="J89" s="95">
        <f t="shared" ref="J89:J132" si="1">I89*H89</f>
        <v>632.5</v>
      </c>
      <c r="K89" s="165" t="s">
        <v>286</v>
      </c>
    </row>
    <row r="90" spans="1:11" ht="27" customHeight="1">
      <c r="A90" s="31" t="s">
        <v>51</v>
      </c>
      <c r="B90" s="31" t="s">
        <v>196</v>
      </c>
      <c r="C90" s="31" t="s">
        <v>52</v>
      </c>
      <c r="D90" s="31" t="s">
        <v>197</v>
      </c>
      <c r="E90" s="31" t="s">
        <v>99</v>
      </c>
      <c r="F90" s="31"/>
      <c r="G90" s="31" t="s">
        <v>198</v>
      </c>
      <c r="H90" s="94">
        <v>2.9499999999999998E-2</v>
      </c>
      <c r="I90" s="32">
        <v>44000</v>
      </c>
      <c r="J90" s="95">
        <f t="shared" si="1"/>
        <v>1298</v>
      </c>
      <c r="K90" s="165" t="s">
        <v>350</v>
      </c>
    </row>
    <row r="91" spans="1:11" ht="27" customHeight="1">
      <c r="A91" s="31" t="s">
        <v>200</v>
      </c>
      <c r="B91" s="31">
        <v>260331</v>
      </c>
      <c r="C91" s="31" t="s">
        <v>123</v>
      </c>
      <c r="D91" s="31" t="s">
        <v>67</v>
      </c>
      <c r="E91" s="31" t="s">
        <v>99</v>
      </c>
      <c r="F91" s="31"/>
      <c r="G91" s="31" t="s">
        <v>201</v>
      </c>
      <c r="H91" s="94">
        <v>0.10780000000000001</v>
      </c>
      <c r="I91" s="32">
        <v>6000</v>
      </c>
      <c r="J91" s="95">
        <f t="shared" si="1"/>
        <v>646.80000000000007</v>
      </c>
      <c r="K91" s="165" t="s">
        <v>295</v>
      </c>
    </row>
    <row r="92" spans="1:11" ht="27" customHeight="1">
      <c r="A92" s="31" t="s">
        <v>203</v>
      </c>
      <c r="B92" s="31">
        <v>260331</v>
      </c>
      <c r="C92" s="31" t="s">
        <v>77</v>
      </c>
      <c r="D92" s="31" t="s">
        <v>67</v>
      </c>
      <c r="E92" s="31" t="s">
        <v>45</v>
      </c>
      <c r="F92" s="31">
        <v>100</v>
      </c>
      <c r="G92" s="31" t="s">
        <v>204</v>
      </c>
      <c r="H92" s="94">
        <v>5.45E-2</v>
      </c>
      <c r="I92" s="32">
        <v>18000</v>
      </c>
      <c r="J92" s="95">
        <f t="shared" si="1"/>
        <v>981</v>
      </c>
      <c r="K92" s="165" t="s">
        <v>294</v>
      </c>
    </row>
    <row r="93" spans="1:11" ht="27" customHeight="1">
      <c r="A93" s="31" t="s">
        <v>203</v>
      </c>
      <c r="B93" s="31">
        <v>260331</v>
      </c>
      <c r="C93" s="31" t="s">
        <v>77</v>
      </c>
      <c r="D93" s="31" t="s">
        <v>67</v>
      </c>
      <c r="E93" s="31" t="s">
        <v>45</v>
      </c>
      <c r="F93" s="31">
        <v>100</v>
      </c>
      <c r="G93" s="31" t="s">
        <v>204</v>
      </c>
      <c r="H93" s="94">
        <v>5.45E-2</v>
      </c>
      <c r="I93" s="32">
        <v>910</v>
      </c>
      <c r="J93" s="95">
        <f t="shared" si="1"/>
        <v>49.594999999999999</v>
      </c>
      <c r="K93" s="165" t="s">
        <v>294</v>
      </c>
    </row>
    <row r="94" spans="1:11" ht="27" customHeight="1">
      <c r="A94" s="31" t="s">
        <v>203</v>
      </c>
      <c r="B94" s="31">
        <v>260331</v>
      </c>
      <c r="C94" s="31" t="s">
        <v>77</v>
      </c>
      <c r="D94" s="31" t="s">
        <v>67</v>
      </c>
      <c r="E94" s="31" t="s">
        <v>45</v>
      </c>
      <c r="F94" s="31">
        <v>100</v>
      </c>
      <c r="G94" s="31" t="s">
        <v>204</v>
      </c>
      <c r="H94" s="94">
        <v>5.45E-2</v>
      </c>
      <c r="I94" s="32">
        <v>790</v>
      </c>
      <c r="J94" s="95">
        <f t="shared" si="1"/>
        <v>43.055</v>
      </c>
      <c r="K94" s="165" t="s">
        <v>294</v>
      </c>
    </row>
    <row r="95" spans="1:11" ht="27" customHeight="1">
      <c r="A95" s="31" t="s">
        <v>203</v>
      </c>
      <c r="B95" s="31">
        <v>260331</v>
      </c>
      <c r="C95" s="31" t="s">
        <v>77</v>
      </c>
      <c r="D95" s="31" t="s">
        <v>67</v>
      </c>
      <c r="E95" s="31" t="s">
        <v>45</v>
      </c>
      <c r="F95" s="31">
        <v>100</v>
      </c>
      <c r="G95" s="31" t="s">
        <v>204</v>
      </c>
      <c r="H95" s="94">
        <v>5.45E-2</v>
      </c>
      <c r="I95" s="32">
        <v>600</v>
      </c>
      <c r="J95" s="95">
        <f t="shared" si="1"/>
        <v>32.700000000000003</v>
      </c>
      <c r="K95" s="165" t="s">
        <v>294</v>
      </c>
    </row>
    <row r="96" spans="1:11" ht="27" customHeight="1">
      <c r="A96" s="31" t="s">
        <v>203</v>
      </c>
      <c r="B96" s="31">
        <v>260331</v>
      </c>
      <c r="C96" s="31" t="s">
        <v>77</v>
      </c>
      <c r="D96" s="31" t="s">
        <v>67</v>
      </c>
      <c r="E96" s="31" t="s">
        <v>45</v>
      </c>
      <c r="F96" s="31">
        <v>100</v>
      </c>
      <c r="G96" s="31" t="s">
        <v>204</v>
      </c>
      <c r="H96" s="94">
        <v>5.45E-2</v>
      </c>
      <c r="I96" s="32">
        <v>560</v>
      </c>
      <c r="J96" s="95">
        <f t="shared" si="1"/>
        <v>30.52</v>
      </c>
      <c r="K96" s="165" t="s">
        <v>294</v>
      </c>
    </row>
    <row r="97" spans="1:11" ht="27" customHeight="1">
      <c r="A97" s="31" t="s">
        <v>51</v>
      </c>
      <c r="B97" s="31">
        <v>260331</v>
      </c>
      <c r="C97" s="31" t="s">
        <v>58</v>
      </c>
      <c r="D97" s="31" t="s">
        <v>205</v>
      </c>
      <c r="E97" s="31" t="s">
        <v>54</v>
      </c>
      <c r="F97" s="31">
        <v>150</v>
      </c>
      <c r="G97" s="31" t="s">
        <v>206</v>
      </c>
      <c r="H97" s="94">
        <v>2.1999999999999999E-2</v>
      </c>
      <c r="I97" s="32">
        <v>18000</v>
      </c>
      <c r="J97" s="95">
        <f t="shared" si="1"/>
        <v>396</v>
      </c>
      <c r="K97" s="165" t="s">
        <v>334</v>
      </c>
    </row>
    <row r="98" spans="1:11" ht="27" customHeight="1">
      <c r="A98" s="31" t="s">
        <v>51</v>
      </c>
      <c r="B98" s="31">
        <v>260331</v>
      </c>
      <c r="C98" s="31" t="s">
        <v>58</v>
      </c>
      <c r="D98" s="31" t="s">
        <v>205</v>
      </c>
      <c r="E98" s="31" t="s">
        <v>54</v>
      </c>
      <c r="F98" s="31">
        <v>150</v>
      </c>
      <c r="G98" s="31" t="s">
        <v>206</v>
      </c>
      <c r="H98" s="94">
        <v>2.1999999999999999E-2</v>
      </c>
      <c r="I98" s="32">
        <v>1200</v>
      </c>
      <c r="J98" s="95">
        <f t="shared" si="1"/>
        <v>26.4</v>
      </c>
      <c r="K98" s="165" t="s">
        <v>334</v>
      </c>
    </row>
    <row r="99" spans="1:11" ht="27" customHeight="1">
      <c r="A99" s="31" t="s">
        <v>51</v>
      </c>
      <c r="B99" s="31">
        <v>260331</v>
      </c>
      <c r="C99" s="31" t="s">
        <v>52</v>
      </c>
      <c r="D99" s="31" t="s">
        <v>209</v>
      </c>
      <c r="E99" s="31" t="s">
        <v>54</v>
      </c>
      <c r="F99" s="31">
        <v>150</v>
      </c>
      <c r="G99" s="31" t="s">
        <v>210</v>
      </c>
      <c r="H99" s="94">
        <v>5.0299999999999997E-2</v>
      </c>
      <c r="I99" s="32">
        <v>162000</v>
      </c>
      <c r="J99" s="95">
        <f t="shared" si="1"/>
        <v>8148.5999999999995</v>
      </c>
      <c r="K99" s="165" t="s">
        <v>355</v>
      </c>
    </row>
    <row r="100" spans="1:11" ht="27" customHeight="1">
      <c r="A100" s="31" t="s">
        <v>139</v>
      </c>
      <c r="B100" s="31">
        <v>260407</v>
      </c>
      <c r="C100" s="31" t="s">
        <v>103</v>
      </c>
      <c r="D100" s="31" t="s">
        <v>211</v>
      </c>
      <c r="E100" s="31" t="s">
        <v>54</v>
      </c>
      <c r="F100" s="31">
        <v>50</v>
      </c>
      <c r="G100" s="31" t="s">
        <v>141</v>
      </c>
      <c r="H100" s="94">
        <v>4.4499999999999998E-2</v>
      </c>
      <c r="I100" s="32">
        <v>1000</v>
      </c>
      <c r="J100" s="95">
        <f t="shared" si="1"/>
        <v>44.5</v>
      </c>
      <c r="K100" s="165" t="s">
        <v>323</v>
      </c>
    </row>
    <row r="101" spans="1:11" ht="27" customHeight="1">
      <c r="A101" s="31" t="s">
        <v>139</v>
      </c>
      <c r="B101" s="31">
        <v>260407</v>
      </c>
      <c r="C101" s="31" t="s">
        <v>103</v>
      </c>
      <c r="D101" s="31" t="s">
        <v>211</v>
      </c>
      <c r="E101" s="31" t="s">
        <v>54</v>
      </c>
      <c r="F101" s="31">
        <v>50</v>
      </c>
      <c r="G101" s="31" t="s">
        <v>141</v>
      </c>
      <c r="H101" s="94">
        <v>4.4499999999999998E-2</v>
      </c>
      <c r="I101" s="32">
        <v>1200</v>
      </c>
      <c r="J101" s="95">
        <f t="shared" si="1"/>
        <v>53.4</v>
      </c>
      <c r="K101" s="165" t="s">
        <v>323</v>
      </c>
    </row>
    <row r="102" spans="1:11" ht="27" customHeight="1">
      <c r="A102" s="31" t="s">
        <v>139</v>
      </c>
      <c r="B102" s="31">
        <v>260407</v>
      </c>
      <c r="C102" s="31" t="s">
        <v>133</v>
      </c>
      <c r="D102" s="31" t="s">
        <v>67</v>
      </c>
      <c r="E102" s="31" t="s">
        <v>54</v>
      </c>
      <c r="F102" s="31">
        <v>50</v>
      </c>
      <c r="G102" s="31" t="s">
        <v>213</v>
      </c>
      <c r="H102" s="94">
        <v>4.9500000000000002E-2</v>
      </c>
      <c r="I102" s="32">
        <v>11000</v>
      </c>
      <c r="J102" s="95">
        <f t="shared" si="1"/>
        <v>544.5</v>
      </c>
      <c r="K102" s="165" t="s">
        <v>337</v>
      </c>
    </row>
    <row r="103" spans="1:11" ht="27" customHeight="1">
      <c r="A103" s="31" t="s">
        <v>102</v>
      </c>
      <c r="B103" s="31">
        <v>260407</v>
      </c>
      <c r="C103" s="31" t="s">
        <v>133</v>
      </c>
      <c r="D103" s="31" t="s">
        <v>62</v>
      </c>
      <c r="E103" s="31" t="s">
        <v>104</v>
      </c>
      <c r="F103" s="31">
        <v>50</v>
      </c>
      <c r="G103" s="31" t="s">
        <v>215</v>
      </c>
      <c r="H103" s="94">
        <v>7.8700000000000006E-2</v>
      </c>
      <c r="I103" s="32">
        <v>2000</v>
      </c>
      <c r="J103" s="95">
        <f t="shared" si="1"/>
        <v>157.4</v>
      </c>
      <c r="K103" s="165" t="s">
        <v>288</v>
      </c>
    </row>
    <row r="104" spans="1:11" ht="27" customHeight="1">
      <c r="A104" s="31" t="s">
        <v>57</v>
      </c>
      <c r="B104" s="31">
        <v>260407</v>
      </c>
      <c r="C104" s="31" t="s">
        <v>217</v>
      </c>
      <c r="D104" s="31" t="s">
        <v>62</v>
      </c>
      <c r="E104" s="31" t="s">
        <v>45</v>
      </c>
      <c r="F104" s="31">
        <v>200</v>
      </c>
      <c r="G104" s="31" t="s">
        <v>218</v>
      </c>
      <c r="H104" s="94">
        <v>2.7400000000000001E-2</v>
      </c>
      <c r="I104" s="32">
        <v>32000</v>
      </c>
      <c r="J104" s="95">
        <f t="shared" si="1"/>
        <v>876.80000000000007</v>
      </c>
      <c r="K104" s="165" t="s">
        <v>356</v>
      </c>
    </row>
    <row r="105" spans="1:11" ht="27" customHeight="1">
      <c r="A105" s="31" t="s">
        <v>51</v>
      </c>
      <c r="B105" s="31">
        <v>260407</v>
      </c>
      <c r="C105" s="31" t="s">
        <v>52</v>
      </c>
      <c r="D105" s="31" t="s">
        <v>219</v>
      </c>
      <c r="E105" s="31" t="s">
        <v>54</v>
      </c>
      <c r="F105" s="31"/>
      <c r="G105" s="31" t="s">
        <v>220</v>
      </c>
      <c r="H105" s="94">
        <v>3.5499999999999997E-2</v>
      </c>
      <c r="I105" s="32">
        <v>16500</v>
      </c>
      <c r="J105" s="95">
        <f t="shared" si="1"/>
        <v>585.75</v>
      </c>
      <c r="K105" s="165" t="s">
        <v>287</v>
      </c>
    </row>
    <row r="106" spans="1:11" ht="27" customHeight="1">
      <c r="A106" s="31" t="s">
        <v>121</v>
      </c>
      <c r="B106" s="31">
        <v>260407</v>
      </c>
      <c r="C106" s="31" t="s">
        <v>123</v>
      </c>
      <c r="D106" s="31" t="s">
        <v>62</v>
      </c>
      <c r="E106" s="31" t="s">
        <v>54</v>
      </c>
      <c r="F106" s="31">
        <v>50</v>
      </c>
      <c r="G106" s="31" t="s">
        <v>221</v>
      </c>
      <c r="H106" s="94">
        <v>5.4800000000000001E-2</v>
      </c>
      <c r="I106" s="32">
        <v>6000</v>
      </c>
      <c r="J106" s="95">
        <f t="shared" si="1"/>
        <v>328.8</v>
      </c>
      <c r="K106" s="165" t="s">
        <v>339</v>
      </c>
    </row>
    <row r="107" spans="1:11" ht="27" customHeight="1">
      <c r="A107" s="31" t="s">
        <v>51</v>
      </c>
      <c r="B107" s="31" t="s">
        <v>222</v>
      </c>
      <c r="C107" s="31" t="s">
        <v>52</v>
      </c>
      <c r="D107" s="31" t="s">
        <v>223</v>
      </c>
      <c r="E107" s="31" t="s">
        <v>99</v>
      </c>
      <c r="F107" s="31"/>
      <c r="G107" s="31" t="s">
        <v>198</v>
      </c>
      <c r="H107" s="94">
        <v>3.6499999999999998E-2</v>
      </c>
      <c r="I107" s="32">
        <v>14000</v>
      </c>
      <c r="J107" s="95">
        <f t="shared" si="1"/>
        <v>510.99999999999994</v>
      </c>
      <c r="K107" s="165" t="s">
        <v>367</v>
      </c>
    </row>
    <row r="108" spans="1:11" ht="27" customHeight="1">
      <c r="A108" s="31" t="s">
        <v>115</v>
      </c>
      <c r="B108" s="31">
        <v>260410</v>
      </c>
      <c r="C108" s="31" t="s">
        <v>66</v>
      </c>
      <c r="D108" s="31" t="s">
        <v>136</v>
      </c>
      <c r="E108" s="31" t="s">
        <v>54</v>
      </c>
      <c r="F108" s="31">
        <v>100</v>
      </c>
      <c r="G108" s="31" t="s">
        <v>137</v>
      </c>
      <c r="H108" s="94">
        <v>0.25290000000000001</v>
      </c>
      <c r="I108" s="32">
        <v>2000</v>
      </c>
      <c r="J108" s="95">
        <f t="shared" si="1"/>
        <v>505.8</v>
      </c>
      <c r="K108" s="165" t="s">
        <v>302</v>
      </c>
    </row>
    <row r="109" spans="1:11" ht="27" customHeight="1">
      <c r="A109" s="31" t="s">
        <v>225</v>
      </c>
      <c r="B109" s="31">
        <v>260413</v>
      </c>
      <c r="C109" s="31" t="s">
        <v>103</v>
      </c>
      <c r="D109" s="31" t="s">
        <v>62</v>
      </c>
      <c r="E109" s="31" t="s">
        <v>54</v>
      </c>
      <c r="F109" s="31">
        <v>50</v>
      </c>
      <c r="G109" s="31" t="s">
        <v>226</v>
      </c>
      <c r="H109" s="94">
        <v>3.1E-2</v>
      </c>
      <c r="I109" s="32">
        <v>2000</v>
      </c>
      <c r="J109" s="95">
        <f t="shared" si="1"/>
        <v>62</v>
      </c>
      <c r="K109" s="165" t="s">
        <v>349</v>
      </c>
    </row>
    <row r="110" spans="1:11" ht="27" customHeight="1">
      <c r="A110" s="31" t="s">
        <v>225</v>
      </c>
      <c r="B110" s="31">
        <v>260413</v>
      </c>
      <c r="C110" s="31" t="s">
        <v>103</v>
      </c>
      <c r="D110" s="31" t="s">
        <v>62</v>
      </c>
      <c r="E110" s="31" t="s">
        <v>54</v>
      </c>
      <c r="F110" s="31">
        <v>50</v>
      </c>
      <c r="G110" s="31" t="s">
        <v>226</v>
      </c>
      <c r="H110" s="94">
        <v>3.1E-2</v>
      </c>
      <c r="I110" s="32">
        <v>1500</v>
      </c>
      <c r="J110" s="95">
        <f t="shared" si="1"/>
        <v>46.5</v>
      </c>
      <c r="K110" s="165" t="s">
        <v>349</v>
      </c>
    </row>
    <row r="111" spans="1:11" ht="27" customHeight="1">
      <c r="A111" s="31" t="s">
        <v>51</v>
      </c>
      <c r="B111" s="31">
        <v>260413</v>
      </c>
      <c r="C111" s="31" t="s">
        <v>52</v>
      </c>
      <c r="D111" s="31" t="s">
        <v>98</v>
      </c>
      <c r="E111" s="31" t="s">
        <v>99</v>
      </c>
      <c r="F111" s="31"/>
      <c r="G111" s="31" t="s">
        <v>229</v>
      </c>
      <c r="H111" s="94">
        <v>4.5900000000000003E-2</v>
      </c>
      <c r="I111" s="32">
        <v>20000</v>
      </c>
      <c r="J111" s="95">
        <f t="shared" si="1"/>
        <v>918.00000000000011</v>
      </c>
      <c r="K111" s="165" t="s">
        <v>353</v>
      </c>
    </row>
    <row r="112" spans="1:11" ht="27" customHeight="1">
      <c r="A112" s="31" t="s">
        <v>65</v>
      </c>
      <c r="B112" s="31">
        <v>250812</v>
      </c>
      <c r="C112" s="31" t="s">
        <v>231</v>
      </c>
      <c r="D112" s="31" t="s">
        <v>232</v>
      </c>
      <c r="E112" s="31" t="s">
        <v>54</v>
      </c>
      <c r="F112" s="31">
        <v>100</v>
      </c>
      <c r="G112" s="31" t="s">
        <v>233</v>
      </c>
      <c r="H112" s="94">
        <v>0.153</v>
      </c>
      <c r="I112" s="32">
        <v>5500</v>
      </c>
      <c r="J112" s="95">
        <f t="shared" si="1"/>
        <v>841.5</v>
      </c>
      <c r="K112" s="165" t="s">
        <v>347</v>
      </c>
    </row>
    <row r="113" spans="1:11" ht="27" customHeight="1">
      <c r="A113" s="31" t="s">
        <v>235</v>
      </c>
      <c r="B113" s="31">
        <v>250905</v>
      </c>
      <c r="C113" s="31" t="s">
        <v>236</v>
      </c>
      <c r="D113" s="31" t="s">
        <v>62</v>
      </c>
      <c r="E113" s="31" t="s">
        <v>237</v>
      </c>
      <c r="F113" s="31"/>
      <c r="G113" s="31" t="s">
        <v>238</v>
      </c>
      <c r="H113" s="94">
        <v>2.9100000000000001E-2</v>
      </c>
      <c r="I113" s="32">
        <v>3000</v>
      </c>
      <c r="J113" s="95">
        <f t="shared" si="1"/>
        <v>87.3</v>
      </c>
      <c r="K113" s="165" t="s">
        <v>338</v>
      </c>
    </row>
    <row r="114" spans="1:11" ht="27" customHeight="1">
      <c r="A114" s="31" t="s">
        <v>51</v>
      </c>
      <c r="B114" s="31">
        <v>250923</v>
      </c>
      <c r="C114" s="31" t="s">
        <v>52</v>
      </c>
      <c r="D114" s="31" t="s">
        <v>62</v>
      </c>
      <c r="E114" s="31" t="s">
        <v>45</v>
      </c>
      <c r="F114" s="31">
        <v>300</v>
      </c>
      <c r="G114" s="31" t="s">
        <v>85</v>
      </c>
      <c r="H114" s="94">
        <v>3.5000000000000003E-2</v>
      </c>
      <c r="I114" s="32">
        <v>18000</v>
      </c>
      <c r="J114" s="95">
        <f t="shared" si="1"/>
        <v>630.00000000000011</v>
      </c>
      <c r="K114" s="165" t="s">
        <v>342</v>
      </c>
    </row>
    <row r="115" spans="1:11" ht="27" customHeight="1">
      <c r="A115" s="31" t="s">
        <v>241</v>
      </c>
      <c r="B115" s="31">
        <v>251003</v>
      </c>
      <c r="C115" s="31" t="s">
        <v>66</v>
      </c>
      <c r="D115" s="31" t="s">
        <v>62</v>
      </c>
      <c r="E115" s="31" t="s">
        <v>54</v>
      </c>
      <c r="F115" s="31">
        <v>50</v>
      </c>
      <c r="G115" s="31" t="s">
        <v>242</v>
      </c>
      <c r="H115" s="94">
        <v>0.12</v>
      </c>
      <c r="I115" s="32">
        <v>2000</v>
      </c>
      <c r="J115" s="95">
        <f t="shared" si="1"/>
        <v>240</v>
      </c>
      <c r="K115" s="165" t="s">
        <v>316</v>
      </c>
    </row>
    <row r="116" spans="1:11" ht="27" customHeight="1">
      <c r="A116" s="31" t="s">
        <v>241</v>
      </c>
      <c r="B116" s="31">
        <v>251003</v>
      </c>
      <c r="C116" s="31" t="s">
        <v>66</v>
      </c>
      <c r="D116" s="31" t="s">
        <v>62</v>
      </c>
      <c r="E116" s="31" t="s">
        <v>54</v>
      </c>
      <c r="F116" s="31">
        <v>50</v>
      </c>
      <c r="G116" s="31" t="s">
        <v>242</v>
      </c>
      <c r="H116" s="94">
        <v>0.12</v>
      </c>
      <c r="I116" s="32">
        <v>350</v>
      </c>
      <c r="J116" s="95">
        <f t="shared" si="1"/>
        <v>42</v>
      </c>
      <c r="K116" s="165" t="s">
        <v>316</v>
      </c>
    </row>
    <row r="117" spans="1:11" ht="27" customHeight="1">
      <c r="A117" s="31" t="s">
        <v>245</v>
      </c>
      <c r="B117" s="31">
        <v>251011</v>
      </c>
      <c r="C117" s="31" t="s">
        <v>158</v>
      </c>
      <c r="D117" s="31" t="s">
        <v>246</v>
      </c>
      <c r="E117" s="31" t="s">
        <v>54</v>
      </c>
      <c r="F117" s="31">
        <v>50</v>
      </c>
      <c r="G117" s="31" t="s">
        <v>247</v>
      </c>
      <c r="H117" s="94">
        <v>0.27500000000000002</v>
      </c>
      <c r="I117" s="32">
        <v>1250</v>
      </c>
      <c r="J117" s="95">
        <f t="shared" si="1"/>
        <v>343.75</v>
      </c>
      <c r="K117" s="165" t="s">
        <v>346</v>
      </c>
    </row>
    <row r="118" spans="1:11" ht="27" customHeight="1">
      <c r="A118" s="31" t="s">
        <v>245</v>
      </c>
      <c r="B118" s="31">
        <v>251011</v>
      </c>
      <c r="C118" s="31" t="s">
        <v>158</v>
      </c>
      <c r="D118" s="31" t="s">
        <v>246</v>
      </c>
      <c r="E118" s="31" t="s">
        <v>54</v>
      </c>
      <c r="F118" s="31">
        <v>50</v>
      </c>
      <c r="G118" s="31" t="s">
        <v>247</v>
      </c>
      <c r="H118" s="94">
        <v>0.27500000000000002</v>
      </c>
      <c r="I118" s="32">
        <v>200</v>
      </c>
      <c r="J118" s="95">
        <f t="shared" si="1"/>
        <v>55.000000000000007</v>
      </c>
      <c r="K118" s="165" t="s">
        <v>346</v>
      </c>
    </row>
    <row r="119" spans="1:11" ht="27" customHeight="1">
      <c r="A119" s="31" t="s">
        <v>51</v>
      </c>
      <c r="B119" s="31">
        <v>251114</v>
      </c>
      <c r="C119" s="31" t="s">
        <v>52</v>
      </c>
      <c r="D119" s="31" t="s">
        <v>70</v>
      </c>
      <c r="E119" s="31" t="s">
        <v>54</v>
      </c>
      <c r="F119" s="31">
        <v>150</v>
      </c>
      <c r="G119" s="31" t="s">
        <v>71</v>
      </c>
      <c r="H119" s="94">
        <v>4.2000000000000003E-2</v>
      </c>
      <c r="I119" s="32">
        <v>30000</v>
      </c>
      <c r="J119" s="95">
        <f t="shared" si="1"/>
        <v>1260</v>
      </c>
      <c r="K119" s="165" t="s">
        <v>341</v>
      </c>
    </row>
    <row r="120" spans="1:11" ht="27" customHeight="1">
      <c r="A120" s="31" t="s">
        <v>65</v>
      </c>
      <c r="B120" s="31">
        <v>251207</v>
      </c>
      <c r="C120" s="31" t="s">
        <v>231</v>
      </c>
      <c r="D120" s="31" t="s">
        <v>250</v>
      </c>
      <c r="E120" s="31" t="s">
        <v>54</v>
      </c>
      <c r="F120" s="31">
        <v>100</v>
      </c>
      <c r="G120" s="31" t="s">
        <v>251</v>
      </c>
      <c r="H120" s="94">
        <v>0.153</v>
      </c>
      <c r="I120" s="32">
        <v>3000</v>
      </c>
      <c r="J120" s="95">
        <f t="shared" si="1"/>
        <v>459</v>
      </c>
      <c r="K120" s="165" t="s">
        <v>352</v>
      </c>
    </row>
    <row r="121" spans="1:11" ht="27" customHeight="1">
      <c r="A121" s="31" t="s">
        <v>51</v>
      </c>
      <c r="B121" s="31">
        <v>251215</v>
      </c>
      <c r="C121" s="31" t="s">
        <v>52</v>
      </c>
      <c r="D121" s="31" t="s">
        <v>252</v>
      </c>
      <c r="E121" s="31" t="s">
        <v>54</v>
      </c>
      <c r="F121" s="31">
        <v>150</v>
      </c>
      <c r="G121" s="31" t="s">
        <v>63</v>
      </c>
      <c r="H121" s="94">
        <v>2.9499999999999998E-2</v>
      </c>
      <c r="I121" s="32">
        <v>15000</v>
      </c>
      <c r="J121" s="95">
        <f t="shared" si="1"/>
        <v>442.5</v>
      </c>
      <c r="K121" s="165" t="s">
        <v>319</v>
      </c>
    </row>
    <row r="122" spans="1:11" ht="27" customHeight="1">
      <c r="A122" s="31" t="s">
        <v>93</v>
      </c>
      <c r="B122" s="31">
        <v>260224</v>
      </c>
      <c r="C122" s="31" t="s">
        <v>158</v>
      </c>
      <c r="D122" s="31" t="s">
        <v>62</v>
      </c>
      <c r="E122" s="31" t="s">
        <v>54</v>
      </c>
      <c r="F122" s="31">
        <v>25</v>
      </c>
      <c r="G122" s="31" t="s">
        <v>253</v>
      </c>
      <c r="H122" s="94">
        <v>7.7619999999999996</v>
      </c>
      <c r="I122" s="32">
        <v>54</v>
      </c>
      <c r="J122" s="95">
        <f t="shared" si="1"/>
        <v>419.14799999999997</v>
      </c>
      <c r="K122" s="165" t="s">
        <v>293</v>
      </c>
    </row>
    <row r="123" spans="1:11" ht="27" customHeight="1">
      <c r="A123" s="31" t="s">
        <v>96</v>
      </c>
      <c r="B123" s="31">
        <v>260224</v>
      </c>
      <c r="C123" s="31" t="s">
        <v>158</v>
      </c>
      <c r="D123" s="31" t="s">
        <v>62</v>
      </c>
      <c r="E123" s="31" t="s">
        <v>54</v>
      </c>
      <c r="F123" s="31">
        <v>25</v>
      </c>
      <c r="G123" s="31" t="s">
        <v>255</v>
      </c>
      <c r="H123" s="94">
        <v>7.7619999999999996</v>
      </c>
      <c r="I123" s="32">
        <v>120</v>
      </c>
      <c r="J123" s="95">
        <f t="shared" si="1"/>
        <v>931.43999999999994</v>
      </c>
      <c r="K123" s="165" t="s">
        <v>301</v>
      </c>
    </row>
    <row r="124" spans="1:11" ht="27" customHeight="1">
      <c r="A124" s="31" t="s">
        <v>93</v>
      </c>
      <c r="B124" s="31">
        <v>260224</v>
      </c>
      <c r="C124" s="31" t="s">
        <v>66</v>
      </c>
      <c r="D124" s="31" t="s">
        <v>67</v>
      </c>
      <c r="E124" s="31" t="s">
        <v>54</v>
      </c>
      <c r="F124" s="31">
        <v>25</v>
      </c>
      <c r="G124" s="31" t="s">
        <v>94</v>
      </c>
      <c r="H124" s="94">
        <v>4.1117999999999997</v>
      </c>
      <c r="I124" s="32">
        <v>100</v>
      </c>
      <c r="J124" s="95">
        <f t="shared" si="1"/>
        <v>411.17999999999995</v>
      </c>
      <c r="K124" s="165" t="s">
        <v>300</v>
      </c>
    </row>
    <row r="125" spans="1:11" ht="27" customHeight="1">
      <c r="A125" s="31" t="s">
        <v>96</v>
      </c>
      <c r="B125" s="31">
        <v>260224</v>
      </c>
      <c r="C125" s="31" t="s">
        <v>66</v>
      </c>
      <c r="D125" s="31" t="s">
        <v>67</v>
      </c>
      <c r="E125" s="31" t="s">
        <v>54</v>
      </c>
      <c r="F125" s="31">
        <v>25</v>
      </c>
      <c r="G125" s="31" t="s">
        <v>97</v>
      </c>
      <c r="H125" s="94">
        <v>4.1117999999999997</v>
      </c>
      <c r="I125" s="32">
        <v>100</v>
      </c>
      <c r="J125" s="95">
        <f t="shared" si="1"/>
        <v>411.17999999999995</v>
      </c>
      <c r="K125" s="165" t="s">
        <v>299</v>
      </c>
    </row>
    <row r="126" spans="1:11" ht="27" customHeight="1">
      <c r="A126" s="31" t="s">
        <v>96</v>
      </c>
      <c r="B126" s="31">
        <v>260224</v>
      </c>
      <c r="C126" s="31" t="s">
        <v>66</v>
      </c>
      <c r="D126" s="31" t="s">
        <v>62</v>
      </c>
      <c r="E126" s="31" t="s">
        <v>54</v>
      </c>
      <c r="F126" s="31">
        <v>25</v>
      </c>
      <c r="G126" s="31" t="s">
        <v>256</v>
      </c>
      <c r="H126" s="94">
        <v>6.468</v>
      </c>
      <c r="I126" s="32">
        <v>200</v>
      </c>
      <c r="J126" s="95">
        <f t="shared" si="1"/>
        <v>1293.5999999999999</v>
      </c>
      <c r="K126" s="165" t="s">
        <v>313</v>
      </c>
    </row>
    <row r="127" spans="1:11" ht="27" customHeight="1">
      <c r="A127" s="31" t="s">
        <v>115</v>
      </c>
      <c r="B127" s="31">
        <v>260113</v>
      </c>
      <c r="C127" s="31" t="s">
        <v>123</v>
      </c>
      <c r="D127" s="31" t="s">
        <v>116</v>
      </c>
      <c r="E127" s="31" t="s">
        <v>54</v>
      </c>
      <c r="F127" s="31">
        <v>100</v>
      </c>
      <c r="G127" s="31" t="s">
        <v>258</v>
      </c>
      <c r="H127" s="94">
        <v>0.13200000000000001</v>
      </c>
      <c r="I127" s="32">
        <v>5000</v>
      </c>
      <c r="J127" s="95">
        <f t="shared" si="1"/>
        <v>660</v>
      </c>
      <c r="K127" s="165" t="s">
        <v>292</v>
      </c>
    </row>
    <row r="128" spans="1:11" ht="27" customHeight="1">
      <c r="A128" s="31" t="s">
        <v>102</v>
      </c>
      <c r="B128" s="31">
        <v>260129</v>
      </c>
      <c r="C128" s="31" t="s">
        <v>66</v>
      </c>
      <c r="D128" s="31" t="s">
        <v>62</v>
      </c>
      <c r="E128" s="31" t="s">
        <v>104</v>
      </c>
      <c r="F128" s="31">
        <v>50</v>
      </c>
      <c r="G128" s="31" t="s">
        <v>260</v>
      </c>
      <c r="H128" s="94">
        <v>0.1244</v>
      </c>
      <c r="I128" s="32">
        <v>1000</v>
      </c>
      <c r="J128" s="95">
        <f t="shared" si="1"/>
        <v>124.39999999999999</v>
      </c>
      <c r="K128" s="165" t="s">
        <v>340</v>
      </c>
    </row>
    <row r="129" spans="1:11" ht="27" customHeight="1">
      <c r="A129" s="31" t="s">
        <v>225</v>
      </c>
      <c r="B129" s="31">
        <v>260129</v>
      </c>
      <c r="C129" s="31" t="s">
        <v>261</v>
      </c>
      <c r="D129" s="31" t="s">
        <v>262</v>
      </c>
      <c r="E129" s="31" t="s">
        <v>45</v>
      </c>
      <c r="F129" s="31">
        <v>300</v>
      </c>
      <c r="G129" s="31" t="s">
        <v>263</v>
      </c>
      <c r="H129" s="94">
        <v>4.4900000000000002E-2</v>
      </c>
      <c r="I129" s="32">
        <v>18000</v>
      </c>
      <c r="J129" s="95">
        <f t="shared" si="1"/>
        <v>808.2</v>
      </c>
      <c r="K129" s="165" t="s">
        <v>284</v>
      </c>
    </row>
    <row r="130" spans="1:11" ht="27" customHeight="1">
      <c r="A130" s="31" t="s">
        <v>265</v>
      </c>
      <c r="B130" s="31">
        <v>10530</v>
      </c>
      <c r="C130" s="31" t="s">
        <v>103</v>
      </c>
      <c r="D130" s="31" t="s">
        <v>266</v>
      </c>
      <c r="E130" s="31" t="s">
        <v>237</v>
      </c>
      <c r="F130" s="31"/>
      <c r="G130" s="31" t="s">
        <v>267</v>
      </c>
      <c r="H130" s="94">
        <v>0.52</v>
      </c>
      <c r="I130" s="32">
        <v>250</v>
      </c>
      <c r="J130" s="95">
        <f t="shared" si="1"/>
        <v>130</v>
      </c>
      <c r="K130" s="165" t="s">
        <v>310</v>
      </c>
    </row>
    <row r="131" spans="1:11" ht="27" customHeight="1">
      <c r="A131" s="31"/>
      <c r="B131" s="31"/>
      <c r="C131" s="31"/>
      <c r="D131" s="31" t="s">
        <v>269</v>
      </c>
      <c r="E131" s="31"/>
      <c r="F131" s="31"/>
      <c r="G131" s="31"/>
      <c r="H131" s="94"/>
      <c r="I131" s="32"/>
      <c r="J131" s="95"/>
      <c r="K131" s="165"/>
    </row>
    <row r="132" spans="1:11" ht="27" customHeight="1">
      <c r="A132" s="31" t="s">
        <v>265</v>
      </c>
      <c r="B132" s="31">
        <v>10530</v>
      </c>
      <c r="C132" s="31" t="s">
        <v>103</v>
      </c>
      <c r="D132" s="31" t="s">
        <v>266</v>
      </c>
      <c r="E132" s="31" t="s">
        <v>237</v>
      </c>
      <c r="F132" s="31"/>
      <c r="G132" s="31" t="s">
        <v>267</v>
      </c>
      <c r="H132" s="94">
        <v>0.52</v>
      </c>
      <c r="I132" s="32">
        <v>255</v>
      </c>
      <c r="J132" s="95">
        <f t="shared" si="1"/>
        <v>132.6</v>
      </c>
      <c r="K132" s="166" t="s">
        <v>310</v>
      </c>
    </row>
    <row r="133" spans="1:11" ht="27" customHeight="1">
      <c r="A133" s="31"/>
      <c r="B133" s="31"/>
      <c r="C133" s="31"/>
      <c r="D133" s="31" t="s">
        <v>269</v>
      </c>
      <c r="E133" s="31"/>
      <c r="F133" s="31"/>
      <c r="G133" s="31"/>
      <c r="H133" s="94"/>
      <c r="I133" s="32"/>
      <c r="J133" s="95"/>
      <c r="K133" s="167"/>
    </row>
    <row r="134" spans="1:11">
      <c r="G134" s="2" t="s">
        <v>282</v>
      </c>
      <c r="H134" s="96"/>
      <c r="I134" s="97">
        <f>SUM(I25:I133)</f>
        <v>1633439</v>
      </c>
      <c r="J134" s="98">
        <f>SUM(J25:J133)</f>
        <v>78099.40800000001</v>
      </c>
    </row>
  </sheetData>
  <mergeCells count="30">
    <mergeCell ref="K22:K23"/>
    <mergeCell ref="A20:C20"/>
    <mergeCell ref="D20:F20"/>
    <mergeCell ref="H20:I20"/>
    <mergeCell ref="A18:C18"/>
    <mergeCell ref="D18:F18"/>
    <mergeCell ref="G18:H18"/>
    <mergeCell ref="I18:J18"/>
    <mergeCell ref="A19:C19"/>
    <mergeCell ref="D19:F19"/>
    <mergeCell ref="H19:I19"/>
    <mergeCell ref="A14:C14"/>
    <mergeCell ref="H14:J14"/>
    <mergeCell ref="I15:J15"/>
    <mergeCell ref="A17:C17"/>
    <mergeCell ref="D17:F17"/>
    <mergeCell ref="G17:H17"/>
    <mergeCell ref="I17:J17"/>
    <mergeCell ref="A13:C13"/>
    <mergeCell ref="A1:J1"/>
    <mergeCell ref="A2:J2"/>
    <mergeCell ref="A3:J3"/>
    <mergeCell ref="A4:J4"/>
    <mergeCell ref="A6:J6"/>
    <mergeCell ref="H7:J7"/>
    <mergeCell ref="A8:C8"/>
    <mergeCell ref="I8:J8"/>
    <mergeCell ref="H10:J10"/>
    <mergeCell ref="H11:I11"/>
    <mergeCell ref="I12:J12"/>
  </mergeCells>
  <pageMargins left="0.75" right="0.75" top="1" bottom="1" header="0.51" footer="0.51"/>
  <pageSetup paperSize="9" orientation="portrait" horizontalDpi="0" verticalDpi="0"/>
  <headerFooter scaleWithDoc="0"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B296B7-CA5B-4161-AAE3-210DEC2EA5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PackingList</vt:lpstr>
      <vt:lpstr>Invoice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Windsor Trading Info</dc:creator>
  <cp:keywords/>
  <dc:description/>
  <cp:lastModifiedBy>Windsor Trading Info</cp:lastModifiedBy>
  <cp:revision>1</cp:revision>
  <cp:lastPrinted>2013-03-28T14:45:11Z</cp:lastPrinted>
  <dcterms:created xsi:type="dcterms:W3CDTF">2013-03-25T14:36:55Z</dcterms:created>
  <dcterms:modified xsi:type="dcterms:W3CDTF">2026-04-29T05:33:50Z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378B6D12EC904F7888FC226E08058F7C</vt:lpwstr>
  </property>
  <property fmtid="{D5CDD505-2E9C-101B-9397-08002B2CF9AE}" pid="4" name="CalculationRule">
    <vt:r8>0</vt:r8>
  </property>
</Properties>
</file>